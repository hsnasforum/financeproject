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cfeb03686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63875999f947bf"/>
    <x:sheet xmlns:r="http://schemas.openxmlformats.org/officeDocument/2006/relationships" name="QA_Cases" sheetId="2" r:id="R0393df7279db4130"/>
    <x:sheet xmlns:r="http://schemas.openxmlformats.org/officeDocument/2006/relationships" name="Error_Codes" sheetId="3" r:id="R3e1db138e65e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sz val="10"/>
      <x:color rgb="001F2328"/>
    </x:font>
    <x:font>
      <x:b/>
      <x:sz val="10"/>
      <x:color rgb="009A1B1B"/>
    </x:font>
    <x:font>
      <x:b/>
      <x:sz val="10"/>
      <x:color rgb="008A5A00"/>
    </x:font>
    <x:font>
      <x:b/>
      <x:sz val="10"/>
      <x:color rgb="001D6F42"/>
    </x:font>
    <x:font>
      <x:b/>
      <x:sz val="16"/>
      <x:color rgb="001F4E78"/>
    </x:font>
    <x:font>
      <x:b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DECEC"/>
      </x:patternFill>
    </x:fill>
    <x:fill>
      <x:patternFill patternType="solid">
        <x:fgColor rgb="00EAF4FB"/>
      </x:patternFill>
    </x:fill>
    <x:fill>
      <x:patternFill patternType="solid">
        <x:fgColor rgb="00FFF4CC"/>
      </x:patternFill>
    </x:fill>
    <x:fill>
      <x:patternFill patternType="solid">
        <x:fgColor rgb="00F8F1FF"/>
      </x:patternFill>
    </x:fill>
    <x:fill>
      <x:patternFill patternType="solid">
        <x:fgColor rgb="00FFF0F0"/>
      </x:patternFill>
    </x:fill>
    <x:fill>
      <x:patternFill patternType="solid">
        <x:fgColor rgb="00EAF6EA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6" fillId="0" borderId="0" xfId="0"/>
    <x:xf numFmtId="0" fontId="7" fillId="9" borderId="1" xfId="0" applyAlignment="1">
      <x:alignment vertical="center"/>
    </x:xf>
    <x:xf numFmtId="0" fontId="0" fillId="0" borderId="1" xfId="0" applyAlignment="1">
      <x:alignment vertical="center" wrapText="1"/>
    </x:xf>
    <x:xf numFmtId="0" fontId="1" fillId="2" borderId="1" xfId="0" applyAlignment="1">
      <x:alignment horizontal="center"/>
    </x:xf>
    <x:xf numFmtId="0" fontId="0" fillId="0" borderId="1" xfId="0" applyAlignment="1">
      <x:alignment horizontal="center"/>
    </x:xf>
    <x:xf numFmtId="0" fontId="1" fillId="2" borderId="1" xfId="0"/>
    <x:xf numFmtId="0" fontId="0" fillId="0" borderId="1" xfId="0"/>
    <x:xf numFmtId="0" fontId="1" fillId="2" borderId="1" xfId="0" applyAlignment="1">
      <x:alignment horizontal="center" vertical="center"/>
    </x:xf>
    <x:xf numFmtId="0" fontId="2" fillId="0" borderId="1" xfId="0" applyAlignment="1">
      <x:alignment vertical="center" wrapText="1"/>
    </x:xf>
    <x:xf numFmtId="0" fontId="3" fillId="3" borderId="1" xfId="0" applyAlignment="1">
      <x:alignment vertical="center" wrapText="1"/>
    </x:xf>
    <x:xf numFmtId="0" fontId="2" fillId="4" borderId="1" xfId="0" applyAlignment="1">
      <x:alignment vertical="center" wrapText="1"/>
    </x:xf>
    <x:xf numFmtId="0" fontId="4" fillId="5" borderId="1" xfId="0" applyAlignment="1">
      <x:alignment vertical="center" wrapText="1"/>
    </x:xf>
    <x:xf numFmtId="0" fontId="2" fillId="6" borderId="1" xfId="0" applyAlignment="1">
      <x:alignment vertical="center" wrapText="1"/>
    </x:xf>
    <x:xf numFmtId="0" fontId="2" fillId="7" borderId="1" xfId="0" applyAlignment="1">
      <x:alignment vertical="center" wrapText="1"/>
    </x:xf>
    <x:xf numFmtId="0" fontId="2" fillId="8" borderId="1" xfId="0" applyAlignment="1">
      <x:alignment vertical="center" wrapText="1"/>
    </x:xf>
    <x:xf numFmtId="0" fontId="5" fillId="8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4c23672cb4dbf" /><Relationship Type="http://schemas.openxmlformats.org/officeDocument/2006/relationships/theme" Target="/xl/theme/theme1.xml" Id="Rd6b2e04b95c843f9" /><Relationship Type="http://schemas.openxmlformats.org/officeDocument/2006/relationships/sharedStrings" Target="/xl/sharedStrings.xml" Id="Rcf961fb357eb4e9f" /><Relationship Type="http://schemas.openxmlformats.org/officeDocument/2006/relationships/worksheet" Target="/xl/worksheets/sheet1.xml" Id="R5163875999f947bf" /><Relationship Type="http://schemas.openxmlformats.org/officeDocument/2006/relationships/worksheet" Target="/xl/worksheets/sheet2.xml" Id="R0393df7279db4130" /><Relationship Type="http://schemas.openxmlformats.org/officeDocument/2006/relationships/worksheet" Target="/xl/worksheets/sheet3.xml" Id="R3e1db138e65e4566" /></Relationships>
</file>

<file path=xl/tables/table1.xml><?xml version="1.0" encoding="utf-8"?>
<x:table xmlns:x="http://schemas.openxmlformats.org/spreadsheetml/2006/main" id="1" name="QACasesTable" displayName="QACasesTable" ref="A1:N112" headerRowCount="1">
  <x:autoFilter ref="A1:N112"/>
  <x:tableColumns count="14">
    <x:tableColumn id="1" name="Case ID"/>
    <x:tableColumn id="2" name="Priority"/>
    <x:tableColumn id="3" name="Area"/>
    <x:tableColumn id="4" name="Layer"/>
    <x:tableColumn id="5" name="Screen/API"/>
    <x:tableColumn id="6" name="Scenario"/>
    <x:tableColumn id="7" name="Preconditions"/>
    <x:tableColumn id="8" name="Test Data"/>
    <x:tableColumn id="9" name="Steps"/>
    <x:tableColumn id="10" name="Expected Result"/>
    <x:tableColumn id="11" name="Expected Error Code"/>
    <x:tableColumn id="12" name="Automation Candidate"/>
    <x:tableColumn id="13" name="Notes"/>
    <x:tableColumn id="14" name="Status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997f3407ca4bc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8" customWidth="1"/>
    <x:col min="4" max="4" width="16" customWidth="1"/>
    <x:col min="5" max="5" width="28" customWidth="1"/>
  </x:cols>
  <x:sheetData>
    <x:row r="1" ht="22" customHeight="1">
      <x:c r="A1" s="1" t="inlineStr">
        <x:is>
          <x:t xml:space="preserve">Personal Finance Planner MVP QA Case Table</x:t>
        </x:is>
      </x:c>
    </x:row>
    <x:row r="2" ht="22" customHeight="1"/>
    <x:row r="3" ht="22" customHeight="1">
      <x:c r="A3" s="2" t="inlineStr">
        <x:is>
          <x:t xml:space="preserve">문서 기준</x:t>
        </x:is>
      </x:c>
      <x:c r="B3" s="3" t="inlineStr">
        <x:is>
          <x:t xml:space="preserve">OpenAPI v2.2-c + DTO/Validator Rules v2.2-c</x:t>
        </x:is>
      </x:c>
    </x:row>
    <x:row r="4" ht="22" customHeight="1">
      <x:c r="A4" s="2" t="inlineStr">
        <x:is>
          <x:t xml:space="preserve">총 케이스</x:t>
        </x:is>
      </x:c>
      <x:c r="B4" s="3">
        <x:f>ROWS(QA_Cases!A2:A112)</x:f>
        <x:v>111</x:v>
      </x:c>
    </x:row>
    <x:row r="5" ht="22" customHeight="1">
      <x:c r="A5" s="2" t="inlineStr">
        <x:is>
          <x:t xml:space="preserve">주요 범위</x:t>
        </x:is>
      </x:c>
      <x:c r="B5" s="3" t="inlineStr">
        <x:is>
          <x:t xml:space="preserve">Auth, Profile, Goal, Preview, Accept/Revision, Home/Action, Weekly Checkin, Reports, Notices/Inquiries, Admin</x:t>
        </x:is>
      </x:c>
    </x:row>
    <x:row r="6" ht="22" customHeight="1">
      <x:c r="A6" s="2" t="inlineStr">
        <x:is>
          <x:t xml:space="preserve">중점 리스크</x:t>
        </x:is>
      </x:c>
      <x:c r="B6" s="3" t="inlineStr">
        <x:is>
          <x:t xml:space="preserve">preview_token, active plan 1개, currentAction non-null(home), month-end 03:00 KST, 28일 종료월 5주차 없음, idempotency replay</x:t>
        </x:is>
      </x:c>
    </x:row>
    <x:row r="7" ht="22" customHeight="1"/>
    <x:row r="8" ht="22" customHeight="1"/>
    <x:row r="9" ht="22" customHeight="1">
      <x:c r="A9" s="4" t="inlineStr">
        <x:is>
          <x:t xml:space="preserve">Priority</x:t>
        </x:is>
      </x:c>
      <x:c r="B9" s="4" t="inlineStr">
        <x:is>
          <x:t xml:space="preserve">Count</x:t>
        </x:is>
      </x:c>
      <x:c r="D9" s="4" t="inlineStr">
        <x:is>
          <x:t xml:space="preserve">Layer</x:t>
        </x:is>
      </x:c>
      <x:c r="E9" s="4" t="inlineStr">
        <x:is>
          <x:t xml:space="preserve">Count</x:t>
        </x:is>
      </x:c>
    </x:row>
    <x:row r="10" ht="22" customHeight="1">
      <x:c r="A10" s="5" t="inlineStr">
        <x:is>
          <x:t xml:space="preserve">P0</x:t>
        </x:is>
      </x:c>
      <x:c r="B10" s="5">
        <x:f>COUNTIF(QA_Cases!B:B,"P0")</x:f>
        <x:v>55</x:v>
      </x:c>
      <x:c r="D10" s="5" t="inlineStr">
        <x:is>
          <x:t xml:space="preserve">API</x:t>
        </x:is>
      </x:c>
      <x:c r="E10" s="5">
        <x:f>COUNTIF(QA_Cases!D:D,"API")</x:f>
        <x:v>96</x:v>
      </x:c>
    </x:row>
    <x:row r="11" ht="22" customHeight="1">
      <x:c r="A11" s="5" t="inlineStr">
        <x:is>
          <x:t xml:space="preserve">P1</x:t>
        </x:is>
      </x:c>
      <x:c r="B11" s="5">
        <x:f>COUNTIF(QA_Cases!B:B,"P1")</x:f>
        <x:v>55</x:v>
      </x:c>
      <x:c r="D11" s="5" t="inlineStr">
        <x:is>
          <x:t xml:space="preserve">UI</x:t>
        </x:is>
      </x:c>
      <x:c r="E11" s="5">
        <x:f>COUNTIF(QA_Cases!D:D,"UI")</x:f>
        <x:v>12</x:v>
      </x:c>
    </x:row>
    <x:row r="12" ht="22" customHeight="1">
      <x:c r="A12" s="5" t="inlineStr">
        <x:is>
          <x:t xml:space="preserve">P2</x:t>
        </x:is>
      </x:c>
      <x:c r="B12" s="5">
        <x:f>COUNTIF(QA_Cases!B:B,"P2")</x:f>
        <x:v>1</x:v>
      </x:c>
      <x:c r="D12" s="5" t="inlineStr">
        <x:is>
          <x:t xml:space="preserve">Batch</x:t>
        </x:is>
      </x:c>
      <x:c r="E12" s="5">
        <x:f>COUNTIF(QA_Cases!D:D,"Batch")</x:f>
        <x:v>1</x:v>
      </x:c>
    </x:row>
    <x:row r="13" ht="22" customHeight="1">
      <x:c r="A13" s="5" t="n"/>
      <x:c r="B13" s="5" t="n"/>
      <x:c r="D13" s="5" t="inlineStr">
        <x:is>
          <x:t xml:space="preserve">E2E</x:t>
        </x:is>
      </x:c>
      <x:c r="E13" s="5">
        <x:f>COUNTIF(QA_Cases!D:D,"E2E")</x:f>
        <x:v>2</x:v>
      </x:c>
    </x:row>
    <x:row r="14" ht="22" customHeight="1"/>
    <x:row r="15" ht="22" customHeight="1"/>
    <x:row r="16" ht="22" customHeight="1">
      <x:c r="A16" s="4" t="inlineStr">
        <x:is>
          <x:t xml:space="preserve">Area</x:t>
        </x:is>
      </x:c>
      <x:c r="B16" s="4" t="inlineStr">
        <x:is>
          <x:t xml:space="preserve">Count</x:t>
        </x:is>
      </x:c>
      <x:c r="D16" s="6" t="inlineStr">
        <x:is>
          <x:t xml:space="preserve">Legend</x:t>
        </x:is>
      </x:c>
    </x:row>
    <x:row r="17" ht="22" customHeight="1">
      <x:c r="A17" s="7" t="inlineStr">
        <x:is>
          <x:t xml:space="preserve">Action</x:t>
        </x:is>
      </x:c>
      <x:c r="B17" s="7">
        <x:f>COUNTIF(QA_Cases!C:C,"Action")</x:f>
        <x:v>6</x:v>
      </x:c>
      <x:c r="D17" s="7" t="inlineStr">
        <x:is>
          <x:t xml:space="preserve">P0</x:t>
        </x:is>
      </x:c>
      <x:c r="E17" s="7" t="inlineStr">
        <x:is>
          <x:t xml:space="preserve">릴리스 차단 급</x:t>
        </x:is>
      </x:c>
    </x:row>
    <x:row r="18" ht="22" customHeight="1">
      <x:c r="A18" s="7" t="inlineStr">
        <x:is>
          <x:t xml:space="preserve">Admin Auth</x:t>
        </x:is>
      </x:c>
      <x:c r="B18" s="7">
        <x:f>COUNTIF(QA_Cases!C:C,"Admin Auth")</x:f>
        <x:v>2</x:v>
      </x:c>
      <x:c r="D18" s="7" t="inlineStr">
        <x:is>
          <x:t xml:space="preserve">P1</x:t>
        </x:is>
      </x:c>
      <x:c r="E18" s="7" t="inlineStr">
        <x:is>
          <x:t xml:space="preserve">핵심 기능/경계값</x:t>
        </x:is>
      </x:c>
    </x:row>
    <x:row r="19" ht="22" customHeight="1">
      <x:c r="A19" s="7" t="inlineStr">
        <x:is>
          <x:t xml:space="preserve">Admin Dashboard</x:t>
        </x:is>
      </x:c>
      <x:c r="B19" s="7">
        <x:f>COUNTIF(QA_Cases!C:C,"Admin Dashboard")</x:f>
        <x:v>2</x:v>
      </x:c>
      <x:c r="D19" s="7" t="inlineStr">
        <x:is>
          <x:t xml:space="preserve">P2</x:t>
        </x:is>
      </x:c>
      <x:c r="E19" s="7" t="inlineStr">
        <x:is>
          <x:t xml:space="preserve">보조/운영성</x:t>
        </x:is>
      </x:c>
    </x:row>
    <x:row r="20" ht="22" customHeight="1">
      <x:c r="A20" s="7" t="inlineStr">
        <x:is>
          <x:t xml:space="preserve">Admin Inquiries</x:t>
        </x:is>
      </x:c>
      <x:c r="B20" s="7">
        <x:f>COUNTIF(QA_Cases!C:C,"Admin Inquiries")</x:f>
        <x:v>3</x:v>
      </x:c>
      <x:c r="D20" s="7" t="inlineStr">
        <x:is>
          <x:t xml:space="preserve">API</x:t>
        </x:is>
      </x:c>
      <x:c r="E20" s="7" t="inlineStr">
        <x:is>
          <x:t xml:space="preserve">API 자동화 우선</x:t>
        </x:is>
      </x:c>
    </x:row>
    <x:row r="21" ht="22" customHeight="1">
      <x:c r="A21" s="7" t="inlineStr">
        <x:is>
          <x:t xml:space="preserve">Admin Members</x:t>
        </x:is>
      </x:c>
      <x:c r="B21" s="7">
        <x:f>COUNTIF(QA_Cases!C:C,"Admin Members")</x:f>
        <x:v>3</x:v>
      </x:c>
      <x:c r="D21" s="7" t="inlineStr">
        <x:is>
          <x:t xml:space="preserve">UI</x:t>
        </x:is>
      </x:c>
      <x:c r="E21" s="7" t="inlineStr">
        <x:is>
          <x:t xml:space="preserve">화면/상태 전이</x:t>
        </x:is>
      </x:c>
    </x:row>
    <x:row r="22" ht="22" customHeight="1">
      <x:c r="A22" s="7" t="inlineStr">
        <x:is>
          <x:t xml:space="preserve">Admin Notices</x:t>
        </x:is>
      </x:c>
      <x:c r="B22" s="7">
        <x:f>COUNTIF(QA_Cases!C:C,"Admin Notices")</x:f>
        <x:v>6</x:v>
      </x:c>
      <x:c r="D22" s="7" t="inlineStr">
        <x:is>
          <x:t xml:space="preserve">Batch</x:t>
        </x:is>
      </x:c>
      <x:c r="E22" s="7" t="inlineStr">
        <x:is>
          <x:t xml:space="preserve">배치/운영 스케줄</x:t>
        </x:is>
      </x:c>
    </x:row>
    <x:row r="23" ht="22" customHeight="1">
      <x:c r="A23" s="7" t="inlineStr">
        <x:is>
          <x:t xml:space="preserve">Auth</x:t>
        </x:is>
      </x:c>
      <x:c r="B23" s="7">
        <x:f>COUNTIF(QA_Cases!C:C,"Auth")</x:f>
        <x:v>8</x:v>
      </x:c>
      <x:c r="D23" s="7" t="inlineStr">
        <x:is>
          <x:t xml:space="preserve">E2E</x:t>
        </x:is>
      </x:c>
      <x:c r="E23" s="7" t="inlineStr">
        <x:is>
          <x:t xml:space="preserve">월경계/플로우 검증</x:t>
        </x:is>
      </x:c>
    </x:row>
    <x:row r="24" ht="22" customHeight="1">
      <x:c r="A24" s="7" t="inlineStr">
        <x:is>
          <x:t xml:space="preserve">Batch</x:t>
        </x:is>
      </x:c>
      <x:c r="B24" s="7">
        <x:f>COUNTIF(QA_Cases!C:C,"Batch")</x:f>
        <x:v>3</x:v>
      </x:c>
    </x:row>
    <x:row r="25" ht="22" customHeight="1">
      <x:c r="A25" s="7" t="inlineStr">
        <x:is>
          <x:t xml:space="preserve">Financial Profile</x:t>
        </x:is>
      </x:c>
      <x:c r="B25" s="7">
        <x:f>COUNTIF(QA_Cases!C:C,"Financial Profile")</x:f>
        <x:v>10</x:v>
      </x:c>
    </x:row>
    <x:row r="26" ht="22" customHeight="1">
      <x:c r="A26" s="7" t="inlineStr">
        <x:is>
          <x:t xml:space="preserve">Home</x:t>
        </x:is>
      </x:c>
      <x:c r="B26" s="7">
        <x:f>COUNTIF(QA_Cases!C:C,"Home")</x:f>
        <x:v>2</x:v>
      </x:c>
    </x:row>
    <x:row r="27" ht="22" customHeight="1">
      <x:c r="A27" s="7" t="inlineStr">
        <x:is>
          <x:t xml:space="preserve">Home/Plan</x:t>
        </x:is>
      </x:c>
      <x:c r="B27" s="7">
        <x:f>COUNTIF(QA_Cases!C:C,"Home/Plan")</x:f>
        <x:v>3</x:v>
      </x:c>
    </x:row>
    <x:row r="28" ht="22" customHeight="1">
      <x:c r="A28" s="7" t="inlineStr">
        <x:is>
          <x:t xml:space="preserve">Inquiry</x:t>
        </x:is>
      </x:c>
      <x:c r="B28" s="7">
        <x:f>COUNTIF(QA_Cases!C:C,"Inquiry")</x:f>
        <x:v>6</x:v>
      </x:c>
    </x:row>
    <x:row r="29" ht="22" customHeight="1">
      <x:c r="A29" s="7" t="inlineStr">
        <x:is>
          <x:t xml:space="preserve">Monthly Report</x:t>
        </x:is>
      </x:c>
      <x:c r="B29" s="7">
        <x:f>COUNTIF(QA_Cases!C:C,"Monthly Report")</x:f>
        <x:v>5</x:v>
      </x:c>
    </x:row>
    <x:row r="30">
      <x:c r="A30" s="7" t="inlineStr">
        <x:is>
          <x:t xml:space="preserve">Notices</x:t>
        </x:is>
      </x:c>
      <x:c r="B30" s="7">
        <x:f>COUNTIF(QA_Cases!C:C,"Notices")</x:f>
        <x:v>2</x:v>
      </x:c>
    </x:row>
    <x:row r="31">
      <x:c r="A31" s="7" t="inlineStr">
        <x:is>
          <x:t xml:space="preserve">Plan Accept</x:t>
        </x:is>
      </x:c>
      <x:c r="B31" s="7">
        <x:f>COUNTIF(QA_Cases!C:C,"Plan Accept")</x:f>
        <x:v>6</x:v>
      </x:c>
    </x:row>
    <x:row r="32">
      <x:c r="A32" s="7" t="inlineStr">
        <x:is>
          <x:t xml:space="preserve">Plan Edit</x:t>
        </x:is>
      </x:c>
      <x:c r="B32" s="7">
        <x:f>COUNTIF(QA_Cases!C:C,"Plan Edit")</x:f>
        <x:v>3</x:v>
      </x:c>
    </x:row>
    <x:row r="33">
      <x:c r="A33" s="7" t="inlineStr">
        <x:is>
          <x:t xml:space="preserve">Plan Preview</x:t>
        </x:is>
      </x:c>
      <x:c r="B33" s="7">
        <x:f>COUNTIF(QA_Cases!C:C,"Plan Preview")</x:f>
        <x:v>15</x:v>
      </x:c>
    </x:row>
    <x:row r="34">
      <x:c r="A34" s="7" t="inlineStr">
        <x:is>
          <x:t xml:space="preserve">Plan Revision</x:t>
        </x:is>
      </x:c>
      <x:c r="B34" s="7">
        <x:f>COUNTIF(QA_Cases!C:C,"Plan Revision")</x:f>
        <x:v>5</x:v>
      </x:c>
    </x:row>
    <x:row r="35">
      <x:c r="A35" s="7" t="inlineStr">
        <x:is>
          <x:t xml:space="preserve">Primary Goal</x:t>
        </x:is>
      </x:c>
      <x:c r="B35" s="7">
        <x:f>COUNTIF(QA_Cases!C:C,"Primary Goal")</x:f>
        <x:v>6</x:v>
      </x:c>
    </x:row>
    <x:row r="36">
      <x:c r="A36" s="7" t="inlineStr">
        <x:is>
          <x:t xml:space="preserve">Routing</x:t>
        </x:is>
      </x:c>
      <x:c r="B36" s="7">
        <x:f>COUNTIF(QA_Cases!C:C,"Routing")</x:f>
        <x:v>3</x:v>
      </x:c>
    </x:row>
    <x:row r="37">
      <x:c r="A37" s="7" t="inlineStr">
        <x:is>
          <x:t xml:space="preserve">Weekly Checkin</x:t>
        </x:is>
      </x:c>
      <x:c r="B37" s="7">
        <x:f>COUNTIF(QA_Cases!C:C,"Weekly Checkin")</x:f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9" customWidth="1"/>
    <x:col min="3" max="3" width="18" customWidth="1"/>
    <x:col min="4" max="4" width="10" customWidth="1"/>
    <x:col min="5" max="5" width="30" customWidth="1"/>
    <x:col min="6" max="6" width="26" customWidth="1"/>
    <x:col min="7" max="7" width="24" customWidth="1"/>
    <x:col min="8" max="8" width="26" customWidth="1"/>
    <x:col min="9" max="9" width="30" customWidth="1"/>
    <x:col min="10" max="10" width="40" customWidth="1"/>
    <x:col min="11" max="11" width="22" customWidth="1"/>
    <x:col min="12" max="12" width="12" customWidth="1"/>
    <x:col min="13" max="13" width="20" customWidth="1"/>
    <x:col min="14" max="14" width="12" customWidth="1"/>
  </x:cols>
  <x:sheetData>
    <x:row r="1" ht="24" customHeight="1">
      <x:c r="A1" s="8" t="inlineStr">
        <x:is>
          <x:t xml:space="preserve">Case ID</x:t>
        </x:is>
      </x:c>
      <x:c r="B1" s="8" t="inlineStr">
        <x:is>
          <x:t xml:space="preserve">Priority</x:t>
        </x:is>
      </x:c>
      <x:c r="C1" s="8" t="inlineStr">
        <x:is>
          <x:t xml:space="preserve">Area</x:t>
        </x:is>
      </x:c>
      <x:c r="D1" s="8" t="inlineStr">
        <x:is>
          <x:t xml:space="preserve">Layer</x:t>
        </x:is>
      </x:c>
      <x:c r="E1" s="8" t="inlineStr">
        <x:is>
          <x:t xml:space="preserve">Screen/API</x:t>
        </x:is>
      </x:c>
      <x:c r="F1" s="8" t="inlineStr">
        <x:is>
          <x:t xml:space="preserve">Scenario</x:t>
        </x:is>
      </x:c>
      <x:c r="G1" s="8" t="inlineStr">
        <x:is>
          <x:t xml:space="preserve">Preconditions</x:t>
        </x:is>
      </x:c>
      <x:c r="H1" s="8" t="inlineStr">
        <x:is>
          <x:t xml:space="preserve">Test Data</x:t>
        </x:is>
      </x:c>
      <x:c r="I1" s="8" t="inlineStr">
        <x:is>
          <x:t xml:space="preserve">Steps</x:t>
        </x:is>
      </x:c>
      <x:c r="J1" s="8" t="inlineStr">
        <x:is>
          <x:t xml:space="preserve">Expected Result</x:t>
        </x:is>
      </x:c>
      <x:c r="K1" s="8" t="inlineStr">
        <x:is>
          <x:t xml:space="preserve">Expected Error Code</x:t>
        </x:is>
      </x:c>
      <x:c r="L1" s="8" t="inlineStr">
        <x:is>
          <x:t xml:space="preserve">Automation Candidate</x:t>
        </x:is>
      </x:c>
      <x:c r="M1" s="8" t="inlineStr">
        <x:is>
          <x:t xml:space="preserve">Notes</x:t>
        </x:is>
      </x:c>
      <x:c r="N1" s="8" t="inlineStr">
        <x:is>
          <x:t xml:space="preserve">Status</x:t>
        </x:is>
      </x:c>
    </x:row>
    <x:row r="2" ht="36" customHeight="1">
      <x:c r="A2" s="9" t="inlineStr">
        <x:is>
          <x:t xml:space="preserve">AUTH-001</x:t>
        </x:is>
      </x:c>
      <x:c r="B2" s="10" t="inlineStr">
        <x:is>
          <x:t xml:space="preserve">P0</x:t>
        </x:is>
      </x:c>
      <x:c r="C2" s="9" t="inlineStr">
        <x:is>
          <x:t xml:space="preserve">Auth</x:t>
        </x:is>
      </x:c>
      <x:c r="D2" s="11" t="inlineStr">
        <x:is>
          <x:t xml:space="preserve">API</x:t>
        </x:is>
      </x:c>
      <x:c r="E2" s="9" t="inlineStr">
        <x:is>
          <x:t xml:space="preserve">POST /api/v1/auth/signup</x:t>
        </x:is>
      </x:c>
      <x:c r="F2" s="9" t="inlineStr">
        <x:is>
          <x:t xml:space="preserve">정상 회원가입</x:t>
        </x:is>
      </x:c>
      <x:c r="G2" s="9" t="inlineStr">
        <x:is>
          <x:t xml:space="preserve">중복되지 않은 이메일</x:t>
        </x:is>
      </x:c>
      <x:c r="H2" s="9" t="inlineStr">
        <x:is>
          <x:t xml:space="preserve">email=user1@example.com, password=Password1!</x:t>
        </x:is>
      </x:c>
      <x:c r="I2" s="9" t="inlineStr">
        <x:is>
          <x:t xml:space="preserve">1) 회원가입 호출</x:t>
        </x:is>
      </x:c>
      <x:c r="J2" s="9" t="inlineStr">
        <x:is>
          <x:t xml:space="preserve">201 응답, user/tokens 반환</x:t>
        </x:is>
      </x:c>
      <x:c r="K2" s="9" t="inlineStr">
        <x:is>
          <x:t xml:space="preserve"/>
        </x:is>
      </x:c>
      <x:c r="L2" s="9" t="inlineStr">
        <x:is>
          <x:t xml:space="preserve">Yes</x:t>
        </x:is>
      </x:c>
      <x:c r="M2" s="9" t="inlineStr">
        <x:is>
          <x:t xml:space="preserve">기본 happy path</x:t>
        </x:is>
      </x:c>
      <x:c r="N2" s="9" t="inlineStr">
        <x:is>
          <x:t xml:space="preserve">Not Run</x:t>
        </x:is>
      </x:c>
    </x:row>
    <x:row r="3" ht="36" customHeight="1">
      <x:c r="A3" s="9" t="inlineStr">
        <x:is>
          <x:t xml:space="preserve">AUTH-002</x:t>
        </x:is>
      </x:c>
      <x:c r="B3" s="10" t="inlineStr">
        <x:is>
          <x:t xml:space="preserve">P0</x:t>
        </x:is>
      </x:c>
      <x:c r="C3" s="9" t="inlineStr">
        <x:is>
          <x:t xml:space="preserve">Auth</x:t>
        </x:is>
      </x:c>
      <x:c r="D3" s="11" t="inlineStr">
        <x:is>
          <x:t xml:space="preserve">API</x:t>
        </x:is>
      </x:c>
      <x:c r="E3" s="9" t="inlineStr">
        <x:is>
          <x:t xml:space="preserve">POST /api/v1/auth/signup</x:t>
        </x:is>
      </x:c>
      <x:c r="F3" s="9" t="inlineStr">
        <x:is>
          <x:t xml:space="preserve">중복 이메일 회원가입 차단</x:t>
        </x:is>
      </x:c>
      <x:c r="G3" s="9" t="inlineStr">
        <x:is>
          <x:t xml:space="preserve">기존 user1@example.com 존재</x:t>
        </x:is>
      </x:c>
      <x:c r="H3" s="9" t="inlineStr">
        <x:is>
          <x:t xml:space="preserve">email=user1@example.com</x:t>
        </x:is>
      </x:c>
      <x:c r="I3" s="9" t="inlineStr">
        <x:is>
          <x:t xml:space="preserve">1) 회원가입 호출</x:t>
        </x:is>
      </x:c>
      <x:c r="J3" s="9" t="inlineStr">
        <x:is>
          <x:t xml:space="preserve">409 응답</x:t>
        </x:is>
      </x:c>
      <x:c r="K3" s="9" t="inlineStr">
        <x:is>
          <x:t xml:space="preserve">EMAIL_ALREADY_EXISTS</x:t>
        </x:is>
      </x:c>
      <x:c r="L3" s="9" t="inlineStr">
        <x:is>
          <x:t xml:space="preserve">Yes</x:t>
        </x:is>
      </x:c>
      <x:c r="M3" s="9" t="inlineStr">
        <x:is>
          <x:t xml:space="preserve">중복 계정 방지</x:t>
        </x:is>
      </x:c>
      <x:c r="N3" s="9" t="inlineStr">
        <x:is>
          <x:t xml:space="preserve">Not Run</x:t>
        </x:is>
      </x:c>
    </x:row>
    <x:row r="4" ht="36" customHeight="1">
      <x:c r="A4" s="9" t="inlineStr">
        <x:is>
          <x:t xml:space="preserve">AUTH-003</x:t>
        </x:is>
      </x:c>
      <x:c r="B4" s="12" t="inlineStr">
        <x:is>
          <x:t xml:space="preserve">P1</x:t>
        </x:is>
      </x:c>
      <x:c r="C4" s="9" t="inlineStr">
        <x:is>
          <x:t xml:space="preserve">Auth</x:t>
        </x:is>
      </x:c>
      <x:c r="D4" s="11" t="inlineStr">
        <x:is>
          <x:t xml:space="preserve">API</x:t>
        </x:is>
      </x:c>
      <x:c r="E4" s="9" t="inlineStr">
        <x:is>
          <x:t xml:space="preserve">POST /api/v1/auth/signup</x:t>
        </x:is>
      </x:c>
      <x:c r="F4" s="9" t="inlineStr">
        <x:is>
          <x:t xml:space="preserve">잘못된 이메일 형식 거부</x:t>
        </x:is>
      </x:c>
      <x:c r="G4" s="9" t="inlineStr">
        <x:is>
          <x:t xml:space="preserve">없음</x:t>
        </x:is>
      </x:c>
      <x:c r="H4" s="9" t="inlineStr">
        <x:is>
          <x:t xml:space="preserve">email=wrong-format</x:t>
        </x:is>
      </x:c>
      <x:c r="I4" s="9" t="inlineStr">
        <x:is>
          <x:t xml:space="preserve">1) 회원가입 호출</x:t>
        </x:is>
      </x:c>
      <x:c r="J4" s="9" t="inlineStr">
        <x:is>
          <x:t xml:space="preserve">422, details.field=email</x:t>
        </x:is>
      </x:c>
      <x:c r="K4" s="9" t="inlineStr">
        <x:is>
          <x:t xml:space="preserve">VALIDATION_ERROR</x:t>
        </x:is>
      </x:c>
      <x:c r="L4" s="9" t="inlineStr">
        <x:is>
          <x:t xml:space="preserve">Yes</x:t>
        </x:is>
      </x:c>
      <x:c r="M4" s="9" t="inlineStr">
        <x:is>
          <x:t xml:space="preserve">email format validator</x:t>
        </x:is>
      </x:c>
      <x:c r="N4" s="9" t="inlineStr">
        <x:is>
          <x:t xml:space="preserve">Not Run</x:t>
        </x:is>
      </x:c>
    </x:row>
    <x:row r="5" ht="36" customHeight="1">
      <x:c r="A5" s="9" t="inlineStr">
        <x:is>
          <x:t xml:space="preserve">AUTH-004</x:t>
        </x:is>
      </x:c>
      <x:c r="B5" s="12" t="inlineStr">
        <x:is>
          <x:t xml:space="preserve">P1</x:t>
        </x:is>
      </x:c>
      <x:c r="C5" s="9" t="inlineStr">
        <x:is>
          <x:t xml:space="preserve">Auth</x:t>
        </x:is>
      </x:c>
      <x:c r="D5" s="11" t="inlineStr">
        <x:is>
          <x:t xml:space="preserve">API</x:t>
        </x:is>
      </x:c>
      <x:c r="E5" s="9" t="inlineStr">
        <x:is>
          <x:t xml:space="preserve">POST /api/v1/auth/signup</x:t>
        </x:is>
      </x:c>
      <x:c r="F5" s="9" t="inlineStr">
        <x:is>
          <x:t xml:space="preserve">비밀번호 최소 길이 미만 거부</x:t>
        </x:is>
      </x:c>
      <x:c r="G5" s="9" t="inlineStr">
        <x:is>
          <x:t xml:space="preserve">없음</x:t>
        </x:is>
      </x:c>
      <x:c r="H5" s="9" t="inlineStr">
        <x:is>
          <x:t xml:space="preserve">password=1234567</x:t>
        </x:is>
      </x:c>
      <x:c r="I5" s="9" t="inlineStr">
        <x:is>
          <x:t xml:space="preserve">1) 회원가입 호출</x:t>
        </x:is>
      </x:c>
      <x:c r="J5" s="9" t="inlineStr">
        <x:is>
          <x:t xml:space="preserve">422, details.field=password</x:t>
        </x:is>
      </x:c>
      <x:c r="K5" s="9" t="inlineStr">
        <x:is>
          <x:t xml:space="preserve">VALIDATION_ERROR</x:t>
        </x:is>
      </x:c>
      <x:c r="L5" s="9" t="inlineStr">
        <x:is>
          <x:t xml:space="preserve">Yes</x:t>
        </x:is>
      </x:c>
      <x:c r="M5" s="9" t="inlineStr">
        <x:is>
          <x:t xml:space="preserve">minLength=8</x:t>
        </x:is>
      </x:c>
      <x:c r="N5" s="9" t="inlineStr">
        <x:is>
          <x:t xml:space="preserve">Not Run</x:t>
        </x:is>
      </x:c>
    </x:row>
    <x:row r="6" ht="36" customHeight="1">
      <x:c r="A6" s="9" t="inlineStr">
        <x:is>
          <x:t xml:space="preserve">AUTH-005</x:t>
        </x:is>
      </x:c>
      <x:c r="B6" s="10" t="inlineStr">
        <x:is>
          <x:t xml:space="preserve">P0</x:t>
        </x:is>
      </x:c>
      <x:c r="C6" s="9" t="inlineStr">
        <x:is>
          <x:t xml:space="preserve">Auth</x:t>
        </x:is>
      </x:c>
      <x:c r="D6" s="11" t="inlineStr">
        <x:is>
          <x:t xml:space="preserve">API</x:t>
        </x:is>
      </x:c>
      <x:c r="E6" s="9" t="inlineStr">
        <x:is>
          <x:t xml:space="preserve">POST /api/v1/auth/login</x:t>
        </x:is>
      </x:c>
      <x:c r="F6" s="9" t="inlineStr">
        <x:is>
          <x:t xml:space="preserve">정상 로그인</x:t>
        </x:is>
      </x:c>
      <x:c r="G6" s="9" t="inlineStr">
        <x:is>
          <x:t xml:space="preserve">회원 존재</x:t>
        </x:is>
      </x:c>
      <x:c r="H6" s="9" t="inlineStr">
        <x:is>
          <x:t xml:space="preserve">email=user1@example.com, password=Password1!</x:t>
        </x:is>
      </x:c>
      <x:c r="I6" s="9" t="inlineStr">
        <x:is>
          <x:t xml:space="preserve">1) 로그인 호출</x:t>
        </x:is>
      </x:c>
      <x:c r="J6" s="9" t="inlineStr">
        <x:is>
          <x:t xml:space="preserve">200, user/tokens 반환</x:t>
        </x:is>
      </x:c>
      <x:c r="K6" s="9" t="inlineStr">
        <x:is>
          <x:t xml:space="preserve"/>
        </x:is>
      </x:c>
      <x:c r="L6" s="9" t="inlineStr">
        <x:is>
          <x:t xml:space="preserve">Yes</x:t>
        </x:is>
      </x:c>
      <x:c r="M6" s="9" t="inlineStr">
        <x:is>
          <x:t xml:space="preserve"/>
        </x:is>
      </x:c>
      <x:c r="N6" s="9" t="inlineStr">
        <x:is>
          <x:t xml:space="preserve">Not Run</x:t>
        </x:is>
      </x:c>
    </x:row>
    <x:row r="7" ht="36" customHeight="1">
      <x:c r="A7" s="9" t="inlineStr">
        <x:is>
          <x:t xml:space="preserve">AUTH-006</x:t>
        </x:is>
      </x:c>
      <x:c r="B7" s="10" t="inlineStr">
        <x:is>
          <x:t xml:space="preserve">P0</x:t>
        </x:is>
      </x:c>
      <x:c r="C7" s="9" t="inlineStr">
        <x:is>
          <x:t xml:space="preserve">Auth</x:t>
        </x:is>
      </x:c>
      <x:c r="D7" s="11" t="inlineStr">
        <x:is>
          <x:t xml:space="preserve">API</x:t>
        </x:is>
      </x:c>
      <x:c r="E7" s="9" t="inlineStr">
        <x:is>
          <x:t xml:space="preserve">POST /api/v1/auth/login</x:t>
        </x:is>
      </x:c>
      <x:c r="F7" s="9" t="inlineStr">
        <x:is>
          <x:t xml:space="preserve">잘못된 비밀번호 로그인 실패</x:t>
        </x:is>
      </x:c>
      <x:c r="G7" s="9" t="inlineStr">
        <x:is>
          <x:t xml:space="preserve">회원 존재</x:t>
        </x:is>
      </x:c>
      <x:c r="H7" s="9" t="inlineStr">
        <x:is>
          <x:t xml:space="preserve">email=user1@example.com, password=WrongPass1!</x:t>
        </x:is>
      </x:c>
      <x:c r="I7" s="9" t="inlineStr">
        <x:is>
          <x:t xml:space="preserve">1) 로그인 호출</x:t>
        </x:is>
      </x:c>
      <x:c r="J7" s="9" t="inlineStr">
        <x:is>
          <x:t xml:space="preserve">401 인증 실패</x:t>
        </x:is>
      </x:c>
      <x:c r="K7" s="9" t="inlineStr">
        <x:is>
          <x:t xml:space="preserve"/>
        </x:is>
      </x:c>
      <x:c r="L7" s="9" t="inlineStr">
        <x:is>
          <x:t xml:space="preserve">Yes</x:t>
        </x:is>
      </x:c>
      <x:c r="M7" s="9" t="inlineStr">
        <x:is>
          <x:t xml:space="preserve">메시지는 일반화</x:t>
        </x:is>
      </x:c>
      <x:c r="N7" s="9" t="inlineStr">
        <x:is>
          <x:t xml:space="preserve">Not Run</x:t>
        </x:is>
      </x:c>
    </x:row>
    <x:row r="8" ht="36" customHeight="1">
      <x:c r="A8" s="9" t="inlineStr">
        <x:is>
          <x:t xml:space="preserve">AUTH-007</x:t>
        </x:is>
      </x:c>
      <x:c r="B8" s="12" t="inlineStr">
        <x:is>
          <x:t xml:space="preserve">P1</x:t>
        </x:is>
      </x:c>
      <x:c r="C8" s="9" t="inlineStr">
        <x:is>
          <x:t xml:space="preserve">Auth</x:t>
        </x:is>
      </x:c>
      <x:c r="D8" s="11" t="inlineStr">
        <x:is>
          <x:t xml:space="preserve">API</x:t>
        </x:is>
      </x:c>
      <x:c r="E8" s="9" t="inlineStr">
        <x:is>
          <x:t xml:space="preserve">POST /api/v1/auth/logout</x:t>
        </x:is>
      </x:c>
      <x:c r="F8" s="9" t="inlineStr">
        <x:is>
          <x:t xml:space="preserve">정상 로그아웃</x:t>
        </x:is>
      </x:c>
      <x:c r="G8" s="9" t="inlineStr">
        <x:is>
          <x:t xml:space="preserve">로그인 완료</x:t>
        </x:is>
      </x:c>
      <x:c r="H8" s="9" t="inlineStr">
        <x:is>
          <x:t xml:space="preserve">Bearer token</x:t>
        </x:is>
      </x:c>
      <x:c r="I8" s="9" t="inlineStr">
        <x:is>
          <x:t xml:space="preserve">1) 로그아웃 호출</x:t>
        </x:is>
      </x:c>
      <x:c r="J8" s="9" t="inlineStr">
        <x:is>
          <x:t xml:space="preserve">204, body 없음</x:t>
        </x:is>
      </x:c>
      <x:c r="K8" s="9" t="inlineStr">
        <x:is>
          <x:t xml:space="preserve"/>
        </x:is>
      </x:c>
      <x:c r="L8" s="9" t="inlineStr">
        <x:is>
          <x:t xml:space="preserve">Yes</x:t>
        </x:is>
      </x:c>
      <x:c r="M8" s="9" t="inlineStr">
        <x:is>
          <x:t xml:space="preserve"/>
        </x:is>
      </x:c>
      <x:c r="N8" s="9" t="inlineStr">
        <x:is>
          <x:t xml:space="preserve">Not Run</x:t>
        </x:is>
      </x:c>
    </x:row>
    <x:row r="9" ht="36" customHeight="1">
      <x:c r="A9" s="9" t="inlineStr">
        <x:is>
          <x:t xml:space="preserve">AUTH-008</x:t>
        </x:is>
      </x:c>
      <x:c r="B9" s="12" t="inlineStr">
        <x:is>
          <x:t xml:space="preserve">P1</x:t>
        </x:is>
      </x:c>
      <x:c r="C9" s="9" t="inlineStr">
        <x:is>
          <x:t xml:space="preserve">Auth</x:t>
        </x:is>
      </x:c>
      <x:c r="D9" s="11" t="inlineStr">
        <x:is>
          <x:t xml:space="preserve">API</x:t>
        </x:is>
      </x:c>
      <x:c r="E9" s="9" t="inlineStr">
        <x:is>
          <x:t xml:space="preserve">POST /api/v1/auth/logout</x:t>
        </x:is>
      </x:c>
      <x:c r="F9" s="9" t="inlineStr">
        <x:is>
          <x:t xml:space="preserve">비인증 로그아웃 차단</x:t>
        </x:is>
      </x:c>
      <x:c r="G9" s="9" t="inlineStr">
        <x:is>
          <x:t xml:space="preserve">토큰 없음</x:t>
        </x:is>
      </x:c>
      <x:c r="H9" s="9" t="inlineStr">
        <x:is>
          <x:t xml:space="preserve">없음</x:t>
        </x:is>
      </x:c>
      <x:c r="I9" s="9" t="inlineStr">
        <x:is>
          <x:t xml:space="preserve">1) 로그아웃 호출</x:t>
        </x:is>
      </x:c>
      <x:c r="J9" s="9" t="inlineStr">
        <x:is>
          <x:t xml:space="preserve">401</x:t>
        </x:is>
      </x:c>
      <x:c r="K9" s="9" t="inlineStr">
        <x:is>
          <x:t xml:space="preserve"/>
        </x:is>
      </x:c>
      <x:c r="L9" s="9" t="inlineStr">
        <x:is>
          <x:t xml:space="preserve">Yes</x:t>
        </x:is>
      </x:c>
      <x:c r="M9" s="9" t="inlineStr">
        <x:is>
          <x:t xml:space="preserve"/>
        </x:is>
      </x:c>
      <x:c r="N9" s="9" t="inlineStr">
        <x:is>
          <x:t xml:space="preserve">Not Run</x:t>
        </x:is>
      </x:c>
    </x:row>
    <x:row r="10" ht="36" customHeight="1">
      <x:c r="A10" s="9" t="inlineStr">
        <x:is>
          <x:t xml:space="preserve">AUTH-009</x:t>
        </x:is>
      </x:c>
      <x:c r="B10" s="10" t="inlineStr">
        <x:is>
          <x:t xml:space="preserve">P0</x:t>
        </x:is>
      </x:c>
      <x:c r="C10" s="9" t="inlineStr">
        <x:is>
          <x:t xml:space="preserve">Admin Auth</x:t>
        </x:is>
      </x:c>
      <x:c r="D10" s="11" t="inlineStr">
        <x:is>
          <x:t xml:space="preserve">API</x:t>
        </x:is>
      </x:c>
      <x:c r="E10" s="9" t="inlineStr">
        <x:is>
          <x:t xml:space="preserve">POST /api/v1/admin/auth/login</x:t>
        </x:is>
      </x:c>
      <x:c r="F10" s="9" t="inlineStr">
        <x:is>
          <x:t xml:space="preserve">운영자 로그인 성공</x:t>
        </x:is>
      </x:c>
      <x:c r="G10" s="9" t="inlineStr">
        <x:is>
          <x:t xml:space="preserve">운영자 계정 존재</x:t>
        </x:is>
      </x:c>
      <x:c r="H10" s="9" t="inlineStr">
        <x:is>
          <x:t xml:space="preserve">admin@example.com / Password1!</x:t>
        </x:is>
      </x:c>
      <x:c r="I10" s="9" t="inlineStr">
        <x:is>
          <x:t xml:space="preserve">1) admin 로그인 호출</x:t>
        </x:is>
      </x:c>
      <x:c r="J10" s="9" t="inlineStr">
        <x:is>
          <x:t xml:space="preserve">200, admin 세션 또는 토큰 반환</x:t>
        </x:is>
      </x:c>
      <x:c r="K10" s="9" t="inlineStr">
        <x:is>
          <x:t xml:space="preserve"/>
        </x:is>
      </x:c>
      <x:c r="L10" s="9" t="inlineStr">
        <x:is>
          <x:t xml:space="preserve">Yes</x:t>
        </x:is>
      </x:c>
      <x:c r="M10" s="9" t="inlineStr">
        <x:is>
          <x:t xml:space="preserve"/>
        </x:is>
      </x:c>
      <x:c r="N10" s="9" t="inlineStr">
        <x:is>
          <x:t xml:space="preserve">Not Run</x:t>
        </x:is>
      </x:c>
    </x:row>
    <x:row r="11" ht="36" customHeight="1">
      <x:c r="A11" s="9" t="inlineStr">
        <x:is>
          <x:t xml:space="preserve">AUTH-010</x:t>
        </x:is>
      </x:c>
      <x:c r="B11" s="10" t="inlineStr">
        <x:is>
          <x:t xml:space="preserve">P0</x:t>
        </x:is>
      </x:c>
      <x:c r="C11" s="9" t="inlineStr">
        <x:is>
          <x:t xml:space="preserve">Admin Auth</x:t>
        </x:is>
      </x:c>
      <x:c r="D11" s="11" t="inlineStr">
        <x:is>
          <x:t xml:space="preserve">API</x:t>
        </x:is>
      </x:c>
      <x:c r="E11" s="9" t="inlineStr">
        <x:is>
          <x:t xml:space="preserve">GET /api/v1/admin/dashboard/metrics</x:t>
        </x:is>
      </x:c>
      <x:c r="F11" s="9" t="inlineStr">
        <x:is>
          <x:t xml:space="preserve">일반 사용자 토큰으로 운영 API 차단</x:t>
        </x:is>
      </x:c>
      <x:c r="G11" s="9" t="inlineStr">
        <x:is>
          <x:t xml:space="preserve">일반 사용자 로그인</x:t>
        </x:is>
      </x:c>
      <x:c r="H11" s="9" t="inlineStr">
        <x:is>
          <x:t xml:space="preserve">user bearer token</x:t>
        </x:is>
      </x:c>
      <x:c r="I11" s="9" t="inlineStr">
        <x:is>
          <x:t xml:space="preserve">1) admin KPI 조회</x:t>
        </x:is>
      </x:c>
      <x:c r="J11" s="9" t="inlineStr">
        <x:is>
          <x:t xml:space="preserve">403</x:t>
        </x:is>
      </x:c>
      <x:c r="K11" s="9" t="inlineStr">
        <x:is>
          <x:t xml:space="preserve"/>
        </x:is>
      </x:c>
      <x:c r="L11" s="9" t="inlineStr">
        <x:is>
          <x:t xml:space="preserve">Yes</x:t>
        </x:is>
      </x:c>
      <x:c r="M11" s="9" t="inlineStr">
        <x:is>
          <x:t xml:space="preserve">권한 분리</x:t>
        </x:is>
      </x:c>
      <x:c r="N11" s="9" t="inlineStr">
        <x:is>
          <x:t xml:space="preserve">Not Run</x:t>
        </x:is>
      </x:c>
    </x:row>
    <x:row r="12" ht="36" customHeight="1">
      <x:c r="A12" s="9" t="inlineStr">
        <x:is>
          <x:t xml:space="preserve">ROUTE-001</x:t>
        </x:is>
      </x:c>
      <x:c r="B12" s="12" t="inlineStr">
        <x:is>
          <x:t xml:space="preserve">P1</x:t>
        </x:is>
      </x:c>
      <x:c r="C12" s="9" t="inlineStr">
        <x:is>
          <x:t xml:space="preserve">Routing</x:t>
        </x:is>
      </x:c>
      <x:c r="D12" s="13" t="inlineStr">
        <x:is>
          <x:t xml:space="preserve">UI</x:t>
        </x:is>
      </x:c>
      <x:c r="E12" s="9" t="inlineStr">
        <x:is>
          <x:t xml:space="preserve">/home</x:t>
        </x:is>
      </x:c>
      <x:c r="F12" s="9" t="inlineStr">
        <x:is>
          <x:t xml:space="preserve">비로그인 사용자의 홈 접근 차단</x:t>
        </x:is>
      </x:c>
      <x:c r="G12" s="9" t="inlineStr">
        <x:is>
          <x:t xml:space="preserve">로그아웃 상태</x:t>
        </x:is>
      </x:c>
      <x:c r="H12" s="9" t="inlineStr">
        <x:is>
          <x:t xml:space="preserve">/home 직접 접근</x:t>
        </x:is>
      </x:c>
      <x:c r="I12" s="9" t="inlineStr">
        <x:is>
          <x:t xml:space="preserve">1) 브라우저 진입</x:t>
        </x:is>
      </x:c>
      <x:c r="J12" s="9" t="inlineStr">
        <x:is>
          <x:t xml:space="preserve">/auth로 리다이렉트</x:t>
        </x:is>
      </x:c>
      <x:c r="K12" s="9" t="inlineStr">
        <x:is>
          <x:t xml:space="preserve"/>
        </x:is>
      </x:c>
      <x:c r="L12" s="9" t="inlineStr">
        <x:is>
          <x:t xml:space="preserve">No</x:t>
        </x:is>
      </x:c>
      <x:c r="M12" s="9" t="inlineStr">
        <x:is>
          <x:t xml:space="preserve">route guard</x:t>
        </x:is>
      </x:c>
      <x:c r="N12" s="9" t="inlineStr">
        <x:is>
          <x:t xml:space="preserve">Not Run</x:t>
        </x:is>
      </x:c>
    </x:row>
    <x:row r="13" ht="36" customHeight="1">
      <x:c r="A13" s="9" t="inlineStr">
        <x:is>
          <x:t xml:space="preserve">ROUTE-002</x:t>
        </x:is>
      </x:c>
      <x:c r="B13" s="12" t="inlineStr">
        <x:is>
          <x:t xml:space="preserve">P1</x:t>
        </x:is>
      </x:c>
      <x:c r="C13" s="9" t="inlineStr">
        <x:is>
          <x:t xml:space="preserve">Routing</x:t>
        </x:is>
      </x:c>
      <x:c r="D13" s="13" t="inlineStr">
        <x:is>
          <x:t xml:space="preserve">UI</x:t>
        </x:is>
      </x:c>
      <x:c r="E13" s="9" t="inlineStr">
        <x:is>
          <x:t xml:space="preserve">/onboarding/goal</x:t>
        </x:is>
      </x:c>
      <x:c r="F13" s="9" t="inlineStr">
        <x:is>
          <x:t xml:space="preserve">이전 단계 미완료 시 목표 단계 직접 진입 차단</x:t>
        </x:is>
      </x:c>
      <x:c r="G13" s="9" t="inlineStr">
        <x:is>
          <x:t xml:space="preserve">온보딩 step 1만 완료</x:t>
        </x:is>
      </x:c>
      <x:c r="H13" s="9" t="inlineStr">
        <x:is>
          <x:t xml:space="preserve">/onboarding/goal</x:t>
        </x:is>
      </x:c>
      <x:c r="I13" s="9" t="inlineStr">
        <x:is>
          <x:t xml:space="preserve">1) URL 직접 접근</x:t>
        </x:is>
      </x:c>
      <x:c r="J13" s="9" t="inlineStr">
        <x:is>
          <x:t xml:space="preserve">/onboarding/basic 또는 적절한 이전 step으로 이동</x:t>
        </x:is>
      </x:c>
      <x:c r="K13" s="9" t="inlineStr">
        <x:is>
          <x:t xml:space="preserve"/>
        </x:is>
      </x:c>
      <x:c r="L13" s="9" t="inlineStr">
        <x:is>
          <x:t xml:space="preserve">No</x:t>
        </x:is>
      </x:c>
      <x:c r="M13" s="9" t="inlineStr">
        <x:is>
          <x:t xml:space="preserve">domain guard</x:t>
        </x:is>
      </x:c>
      <x:c r="N13" s="9" t="inlineStr">
        <x:is>
          <x:t xml:space="preserve">Not Run</x:t>
        </x:is>
      </x:c>
    </x:row>
    <x:row r="14" ht="36" customHeight="1">
      <x:c r="A14" s="9" t="inlineStr">
        <x:is>
          <x:t xml:space="preserve">ROUTE-003</x:t>
        </x:is>
      </x:c>
      <x:c r="B14" s="12" t="inlineStr">
        <x:is>
          <x:t xml:space="preserve">P1</x:t>
        </x:is>
      </x:c>
      <x:c r="C14" s="9" t="inlineStr">
        <x:is>
          <x:t xml:space="preserve">Routing</x:t>
        </x:is>
      </x:c>
      <x:c r="D14" s="13" t="inlineStr">
        <x:is>
          <x:t xml:space="preserve">UI</x:t>
        </x:is>
      </x:c>
      <x:c r="E14" s="9" t="inlineStr">
        <x:is>
          <x:t xml:space="preserve">/checkin/{yearMonth}/{weekNo}</x:t>
        </x:is>
      </x:c>
      <x:c r="F14" s="9" t="inlineStr">
        <x:is>
          <x:t xml:space="preserve">active plan 없을 때 체크인 경로 차단</x:t>
        </x:is>
      </x:c>
      <x:c r="G14" s="9" t="inlineStr">
        <x:is>
          <x:t xml:space="preserve">프로필만 존재, active plan 없음</x:t>
        </x:is>
      </x:c>
      <x:c r="H14" s="9" t="inlineStr">
        <x:is>
          <x:t xml:space="preserve">현재월 1주차</x:t>
        </x:is>
      </x:c>
      <x:c r="I14" s="9" t="inlineStr">
        <x:is>
          <x:t xml:space="preserve">1) URL 직접 접근</x:t>
        </x:is>
      </x:c>
      <x:c r="J14" s="9" t="inlineStr">
        <x:is>
          <x:t xml:space="preserve">/plan/preview 또는 /home fallback</x:t>
        </x:is>
      </x:c>
      <x:c r="K14" s="9" t="inlineStr">
        <x:is>
          <x:t xml:space="preserve"/>
        </x:is>
      </x:c>
      <x:c r="L14" s="9" t="inlineStr">
        <x:is>
          <x:t xml:space="preserve">No</x:t>
        </x:is>
      </x:c>
      <x:c r="M14" s="9" t="inlineStr">
        <x:is>
          <x:t xml:space="preserve"/>
        </x:is>
      </x:c>
      <x:c r="N14" s="9" t="inlineStr">
        <x:is>
          <x:t xml:space="preserve">Not Run</x:t>
        </x:is>
      </x:c>
    </x:row>
    <x:row r="15" ht="36" customHeight="1">
      <x:c r="A15" s="9" t="inlineStr">
        <x:is>
          <x:t xml:space="preserve">PRF-001</x:t>
        </x:is>
      </x:c>
      <x:c r="B15" s="10" t="inlineStr">
        <x:is>
          <x:t xml:space="preserve">P0</x:t>
        </x:is>
      </x:c>
      <x:c r="C15" s="9" t="inlineStr">
        <x:is>
          <x:t xml:space="preserve">Financial Profile</x:t>
        </x:is>
      </x:c>
      <x:c r="D15" s="11" t="inlineStr">
        <x:is>
          <x:t xml:space="preserve">API</x:t>
        </x:is>
      </x:c>
      <x:c r="E15" s="9" t="inlineStr">
        <x:is>
          <x:t xml:space="preserve">PUT /api/v1/users/me/financial-profile</x:t>
        </x:is>
      </x:c>
      <x:c r="F15" s="9" t="inlineStr">
        <x:is>
          <x:t xml:space="preserve">부채 없음 프로필 저장 성공</x:t>
        </x:is>
      </x:c>
      <x:c r="G15" s="9" t="inlineStr">
        <x:is>
          <x:t xml:space="preserve">로그인 완료</x:t>
        </x:is>
      </x:c>
      <x:c r="H15" s="9" t="inlineStr">
        <x:is>
          <x:t xml:space="preserve">monthlyNetIncome=3200000, fixedExpenseExclDebtMin=1700000, debtFlag=false</x:t>
        </x:is>
      </x:c>
      <x:c r="I15" s="9" t="inlineStr">
        <x:is>
          <x:t xml:space="preserve">1) 프로필 저장</x:t>
        </x:is>
      </x:c>
      <x:c r="J15" s="9" t="inlineStr">
        <x:is>
          <x:t xml:space="preserve">200, debtType=null, debtMinPayment=0</x:t>
        </x:is>
      </x:c>
      <x:c r="K15" s="9" t="inlineStr">
        <x:is>
          <x:t xml:space="preserve"/>
        </x:is>
      </x:c>
      <x:c r="L15" s="9" t="inlineStr">
        <x:is>
          <x:t xml:space="preserve">Yes</x:t>
        </x:is>
      </x:c>
      <x:c r="M15" s="9" t="inlineStr">
        <x:is>
          <x:t xml:space="preserve"/>
        </x:is>
      </x:c>
      <x:c r="N15" s="9" t="inlineStr">
        <x:is>
          <x:t xml:space="preserve">Not Run</x:t>
        </x:is>
      </x:c>
    </x:row>
    <x:row r="16" ht="36" customHeight="1">
      <x:c r="A16" s="9" t="inlineStr">
        <x:is>
          <x:t xml:space="preserve">PRF-002</x:t>
        </x:is>
      </x:c>
      <x:c r="B16" s="10" t="inlineStr">
        <x:is>
          <x:t xml:space="preserve">P0</x:t>
        </x:is>
      </x:c>
      <x:c r="C16" s="9" t="inlineStr">
        <x:is>
          <x:t xml:space="preserve">Financial Profile</x:t>
        </x:is>
      </x:c>
      <x:c r="D16" s="11" t="inlineStr">
        <x:is>
          <x:t xml:space="preserve">API</x:t>
        </x:is>
      </x:c>
      <x:c r="E16" s="9" t="inlineStr">
        <x:is>
          <x:t xml:space="preserve">PUT /api/v1/users/me/financial-profile</x:t>
        </x:is>
      </x:c>
      <x:c r="F16" s="9" t="inlineStr">
        <x:is>
          <x:t xml:space="preserve">debtFlag=false인데 debtType 전달 시 거부</x:t>
        </x:is>
      </x:c>
      <x:c r="G16" s="9" t="inlineStr">
        <x:is>
          <x:t xml:space="preserve">로그인 완료</x:t>
        </x:is>
      </x:c>
      <x:c r="H16" s="9" t="inlineStr">
        <x:is>
          <x:t xml:space="preserve">debtFlag=false, debtType=personal_loan</x:t>
        </x:is>
      </x:c>
      <x:c r="I16" s="9" t="inlineStr">
        <x:is>
          <x:t xml:space="preserve">1) 프로필 저장</x:t>
        </x:is>
      </x:c>
      <x:c r="J16" s="9" t="inlineStr">
        <x:is>
          <x:t xml:space="preserve">422, cross-field 오류</x:t>
        </x:is>
      </x:c>
      <x:c r="K16" s="9" t="inlineStr">
        <x:is>
          <x:t xml:space="preserve">VALIDATION_ERROR</x:t>
        </x:is>
      </x:c>
      <x:c r="L16" s="9" t="inlineStr">
        <x:is>
          <x:t xml:space="preserve">Yes</x:t>
        </x:is>
      </x:c>
      <x:c r="M16" s="9" t="inlineStr">
        <x:is>
          <x:t xml:space="preserve">if/then validator</x:t>
        </x:is>
      </x:c>
      <x:c r="N16" s="9" t="inlineStr">
        <x:is>
          <x:t xml:space="preserve">Not Run</x:t>
        </x:is>
      </x:c>
    </x:row>
    <x:row r="17" ht="36" customHeight="1">
      <x:c r="A17" s="9" t="inlineStr">
        <x:is>
          <x:t xml:space="preserve">PRF-003</x:t>
        </x:is>
      </x:c>
      <x:c r="B17" s="10" t="inlineStr">
        <x:is>
          <x:t xml:space="preserve">P0</x:t>
        </x:is>
      </x:c>
      <x:c r="C17" s="9" t="inlineStr">
        <x:is>
          <x:t xml:space="preserve">Financial Profile</x:t>
        </x:is>
      </x:c>
      <x:c r="D17" s="11" t="inlineStr">
        <x:is>
          <x:t xml:space="preserve">API</x:t>
        </x:is>
      </x:c>
      <x:c r="E17" s="9" t="inlineStr">
        <x:is>
          <x:t xml:space="preserve">PUT /api/v1/users/me/financial-profile</x:t>
        </x:is>
      </x:c>
      <x:c r="F17" s="9" t="inlineStr">
        <x:is>
          <x:t xml:space="preserve">debtFlag=false인데 debtMinPayment&gt;0 거부</x:t>
        </x:is>
      </x:c>
      <x:c r="G17" s="9" t="inlineStr">
        <x:is>
          <x:t xml:space="preserve">로그인 완료</x:t>
        </x:is>
      </x:c>
      <x:c r="H17" s="9" t="inlineStr">
        <x:is>
          <x:t xml:space="preserve">debtFlag=false, debtMinPayment=10000</x:t>
        </x:is>
      </x:c>
      <x:c r="I17" s="9" t="inlineStr">
        <x:is>
          <x:t xml:space="preserve">1) 프로필 저장</x:t>
        </x:is>
      </x:c>
      <x:c r="J17" s="9" t="inlineStr">
        <x:is>
          <x:t xml:space="preserve">422</x:t>
        </x:is>
      </x:c>
      <x:c r="K17" s="9" t="inlineStr">
        <x:is>
          <x:t xml:space="preserve">VALIDATION_ERROR</x:t>
        </x:is>
      </x:c>
      <x:c r="L17" s="9" t="inlineStr">
        <x:is>
          <x:t xml:space="preserve">Yes</x:t>
        </x:is>
      </x:c>
      <x:c r="M17" s="9" t="inlineStr">
        <x:is>
          <x:t xml:space="preserve"/>
        </x:is>
      </x:c>
      <x:c r="N17" s="9" t="inlineStr">
        <x:is>
          <x:t xml:space="preserve">Not Run</x:t>
        </x:is>
      </x:c>
    </x:row>
    <x:row r="18" ht="36" customHeight="1">
      <x:c r="A18" s="9" t="inlineStr">
        <x:is>
          <x:t xml:space="preserve">PRF-004</x:t>
        </x:is>
      </x:c>
      <x:c r="B18" s="10" t="inlineStr">
        <x:is>
          <x:t xml:space="preserve">P0</x:t>
        </x:is>
      </x:c>
      <x:c r="C18" s="9" t="inlineStr">
        <x:is>
          <x:t xml:space="preserve">Financial Profile</x:t>
        </x:is>
      </x:c>
      <x:c r="D18" s="11" t="inlineStr">
        <x:is>
          <x:t xml:space="preserve">API</x:t>
        </x:is>
      </x:c>
      <x:c r="E18" s="9" t="inlineStr">
        <x:is>
          <x:t xml:space="preserve">PUT /api/v1/users/me/financial-profile</x:t>
        </x:is>
      </x:c>
      <x:c r="F18" s="9" t="inlineStr">
        <x:is>
          <x:t xml:space="preserve">debtFlag=true인데 debtType 누락 거부</x:t>
        </x:is>
      </x:c>
      <x:c r="G18" s="9" t="inlineStr">
        <x:is>
          <x:t xml:space="preserve">로그인 완료</x:t>
        </x:is>
      </x:c>
      <x:c r="H18" s="9" t="inlineStr">
        <x:is>
          <x:t xml:space="preserve">debtFlag=true, debtMinPayment=180000</x:t>
        </x:is>
      </x:c>
      <x:c r="I18" s="9" t="inlineStr">
        <x:is>
          <x:t xml:space="preserve">1) 프로필 저장</x:t>
        </x:is>
      </x:c>
      <x:c r="J18" s="9" t="inlineStr">
        <x:is>
          <x:t xml:space="preserve">422, details.field=debtType</x:t>
        </x:is>
      </x:c>
      <x:c r="K18" s="9" t="inlineStr">
        <x:is>
          <x:t xml:space="preserve">VALIDATION_ERROR</x:t>
        </x:is>
      </x:c>
      <x:c r="L18" s="9" t="inlineStr">
        <x:is>
          <x:t xml:space="preserve">Yes</x:t>
        </x:is>
      </x:c>
      <x:c r="M18" s="9" t="inlineStr">
        <x:is>
          <x:t xml:space="preserve"/>
        </x:is>
      </x:c>
      <x:c r="N18" s="9" t="inlineStr">
        <x:is>
          <x:t xml:space="preserve">Not Run</x:t>
        </x:is>
      </x:c>
    </x:row>
    <x:row r="19" ht="36" customHeight="1">
      <x:c r="A19" s="9" t="inlineStr">
        <x:is>
          <x:t xml:space="preserve">PRF-005</x:t>
        </x:is>
      </x:c>
      <x:c r="B19" s="10" t="inlineStr">
        <x:is>
          <x:t xml:space="preserve">P0</x:t>
        </x:is>
      </x:c>
      <x:c r="C19" s="9" t="inlineStr">
        <x:is>
          <x:t xml:space="preserve">Financial Profile</x:t>
        </x:is>
      </x:c>
      <x:c r="D19" s="11" t="inlineStr">
        <x:is>
          <x:t xml:space="preserve">API</x:t>
        </x:is>
      </x:c>
      <x:c r="E19" s="9" t="inlineStr">
        <x:is>
          <x:t xml:space="preserve">PUT /api/v1/users/me/financial-profile</x:t>
        </x:is>
      </x:c>
      <x:c r="F19" s="9" t="inlineStr">
        <x:is>
          <x:t xml:space="preserve">debtFlag=true인데 debtMinPayment 누락 거부</x:t>
        </x:is>
      </x:c>
      <x:c r="G19" s="9" t="inlineStr">
        <x:is>
          <x:t xml:space="preserve">로그인 완료</x:t>
        </x:is>
      </x:c>
      <x:c r="H19" s="9" t="inlineStr">
        <x:is>
          <x:t xml:space="preserve">debtFlag=true, debtType=personal_loan</x:t>
        </x:is>
      </x:c>
      <x:c r="I19" s="9" t="inlineStr">
        <x:is>
          <x:t xml:space="preserve">1) 프로필 저장</x:t>
        </x:is>
      </x:c>
      <x:c r="J19" s="9" t="inlineStr">
        <x:is>
          <x:t xml:space="preserve">422, details.field=debtMinPayment</x:t>
        </x:is>
      </x:c>
      <x:c r="K19" s="9" t="inlineStr">
        <x:is>
          <x:t xml:space="preserve">VALIDATION_ERROR</x:t>
        </x:is>
      </x:c>
      <x:c r="L19" s="9" t="inlineStr">
        <x:is>
          <x:t xml:space="preserve">Yes</x:t>
        </x:is>
      </x:c>
      <x:c r="M19" s="9" t="inlineStr">
        <x:is>
          <x:t xml:space="preserve"/>
        </x:is>
      </x:c>
      <x:c r="N19" s="9" t="inlineStr">
        <x:is>
          <x:t xml:space="preserve">Not Run</x:t>
        </x:is>
      </x:c>
    </x:row>
    <x:row r="20" ht="36" customHeight="1">
      <x:c r="A20" s="9" t="inlineStr">
        <x:is>
          <x:t xml:space="preserve">PRF-006</x:t>
        </x:is>
      </x:c>
      <x:c r="B20" s="12" t="inlineStr">
        <x:is>
          <x:t xml:space="preserve">P1</x:t>
        </x:is>
      </x:c>
      <x:c r="C20" s="9" t="inlineStr">
        <x:is>
          <x:t xml:space="preserve">Financial Profile</x:t>
        </x:is>
      </x:c>
      <x:c r="D20" s="11" t="inlineStr">
        <x:is>
          <x:t xml:space="preserve">API</x:t>
        </x:is>
      </x:c>
      <x:c r="E20" s="9" t="inlineStr">
        <x:is>
          <x:t xml:space="preserve">PUT /api/v1/users/me/financial-profile</x:t>
        </x:is>
      </x:c>
      <x:c r="F20" s="9" t="inlineStr">
        <x:is>
          <x:t xml:space="preserve">월 실수령액 최소값 미만 거부</x:t>
        </x:is>
      </x:c>
      <x:c r="G20" s="9" t="inlineStr">
        <x:is>
          <x:t xml:space="preserve">로그인 완료</x:t>
        </x:is>
      </x:c>
      <x:c r="H20" s="9" t="inlineStr">
        <x:is>
          <x:t xml:space="preserve">monthlyNetIncome=490000</x:t>
        </x:is>
      </x:c>
      <x:c r="I20" s="9" t="inlineStr">
        <x:is>
          <x:t xml:space="preserve">1) 프로필 저장</x:t>
        </x:is>
      </x:c>
      <x:c r="J20" s="9" t="inlineStr">
        <x:is>
          <x:t xml:space="preserve">422, details.field=monthlyNetIncome</x:t>
        </x:is>
      </x:c>
      <x:c r="K20" s="9" t="inlineStr">
        <x:is>
          <x:t xml:space="preserve">VALIDATION_ERROR</x:t>
        </x:is>
      </x:c>
      <x:c r="L20" s="9" t="inlineStr">
        <x:is>
          <x:t xml:space="preserve">Yes</x:t>
        </x:is>
      </x:c>
      <x:c r="M20" s="9" t="inlineStr">
        <x:is>
          <x:t xml:space="preserve">minimum=500000</x:t>
        </x:is>
      </x:c>
      <x:c r="N20" s="9" t="inlineStr">
        <x:is>
          <x:t xml:space="preserve">Not Run</x:t>
        </x:is>
      </x:c>
    </x:row>
    <x:row r="21" ht="36" customHeight="1">
      <x:c r="A21" s="9" t="inlineStr">
        <x:is>
          <x:t xml:space="preserve">PRF-007</x:t>
        </x:is>
      </x:c>
      <x:c r="B21" s="12" t="inlineStr">
        <x:is>
          <x:t xml:space="preserve">P1</x:t>
        </x:is>
      </x:c>
      <x:c r="C21" s="9" t="inlineStr">
        <x:is>
          <x:t xml:space="preserve">Financial Profile</x:t>
        </x:is>
      </x:c>
      <x:c r="D21" s="11" t="inlineStr">
        <x:is>
          <x:t xml:space="preserve">API</x:t>
        </x:is>
      </x:c>
      <x:c r="E21" s="9" t="inlineStr">
        <x:is>
          <x:t xml:space="preserve">PUT /api/v1/users/me/financial-profile</x:t>
        </x:is>
      </x:c>
      <x:c r="F21" s="9" t="inlineStr">
        <x:is>
          <x:t xml:space="preserve">알 수 없는 필드 추가 시 거부</x:t>
        </x:is>
      </x:c>
      <x:c r="G21" s="9" t="inlineStr">
        <x:is>
          <x:t xml:space="preserve">로그인 완료</x:t>
        </x:is>
      </x:c>
      <x:c r="H21" s="9" t="inlineStr">
        <x:is>
          <x:t xml:space="preserve">unknownField=1</x:t>
        </x:is>
      </x:c>
      <x:c r="I21" s="9" t="inlineStr">
        <x:is>
          <x:t xml:space="preserve">1) 프로필 저장</x:t>
        </x:is>
      </x:c>
      <x:c r="J21" s="9" t="inlineStr">
        <x:is>
          <x:t xml:space="preserve">422</x:t>
        </x:is>
      </x:c>
      <x:c r="K21" s="9" t="inlineStr">
        <x:is>
          <x:t xml:space="preserve">VALIDATION_ERROR</x:t>
        </x:is>
      </x:c>
      <x:c r="L21" s="9" t="inlineStr">
        <x:is>
          <x:t xml:space="preserve">Yes</x:t>
        </x:is>
      </x:c>
      <x:c r="M21" s="9" t="inlineStr">
        <x:is>
          <x:t xml:space="preserve">additionalProperties=false</x:t>
        </x:is>
      </x:c>
      <x:c r="N21" s="9" t="inlineStr">
        <x:is>
          <x:t xml:space="preserve">Not Run</x:t>
        </x:is>
      </x:c>
    </x:row>
    <x:row r="22" ht="36" customHeight="1">
      <x:c r="A22" s="9" t="inlineStr">
        <x:is>
          <x:t xml:space="preserve">PRF-008</x:t>
        </x:is>
      </x:c>
      <x:c r="B22" s="12" t="inlineStr">
        <x:is>
          <x:t xml:space="preserve">P1</x:t>
        </x:is>
      </x:c>
      <x:c r="C22" s="9" t="inlineStr">
        <x:is>
          <x:t xml:space="preserve">Financial Profile</x:t>
        </x:is>
      </x:c>
      <x:c r="D22" s="11" t="inlineStr">
        <x:is>
          <x:t xml:space="preserve">API</x:t>
        </x:is>
      </x:c>
      <x:c r="E22" s="9" t="inlineStr">
        <x:is>
          <x:t xml:space="preserve">PUT /api/v1/users/me/financial-profile</x:t>
        </x:is>
      </x:c>
      <x:c r="F22" s="9" t="inlineStr">
        <x:is>
          <x:t xml:space="preserve">지난달 변동지출 null 입력 시 기본값 적용</x:t>
        </x:is>
      </x:c>
      <x:c r="G22" s="9" t="inlineStr">
        <x:is>
          <x:t xml:space="preserve">로그인 완료</x:t>
        </x:is>
      </x:c>
      <x:c r="H22" s="9" t="inlineStr">
        <x:is>
          <x:t xml:space="preserve">variableExpenseLastMonthInput=null</x:t>
        </x:is>
      </x:c>
      <x:c r="I22" s="9" t="inlineStr">
        <x:is>
          <x:t xml:space="preserve">1) 프로필 저장</x:t>
        </x:is>
      </x:c>
      <x:c r="J22" s="9" t="inlineStr">
        <x:is>
          <x:t xml:space="preserve">200, variableExpenseSource=default_25pct_income</x:t>
        </x:is>
      </x:c>
      <x:c r="K22" s="9" t="inlineStr">
        <x:is>
          <x:t xml:space="preserve"/>
        </x:is>
      </x:c>
      <x:c r="L22" s="9" t="inlineStr">
        <x:is>
          <x:t xml:space="preserve">Yes</x:t>
        </x:is>
      </x:c>
      <x:c r="M22" s="9" t="inlineStr">
        <x:is>
          <x:t xml:space="preserve">응답 resolved 값 확인</x:t>
        </x:is>
      </x:c>
      <x:c r="N22" s="9" t="inlineStr">
        <x:is>
          <x:t xml:space="preserve">Not Run</x:t>
        </x:is>
      </x:c>
    </x:row>
    <x:row r="23" ht="36" customHeight="1">
      <x:c r="A23" s="9" t="inlineStr">
        <x:is>
          <x:t xml:space="preserve">PRF-009</x:t>
        </x:is>
      </x:c>
      <x:c r="B23" s="12" t="inlineStr">
        <x:is>
          <x:t xml:space="preserve">P1</x:t>
        </x:is>
      </x:c>
      <x:c r="C23" s="9" t="inlineStr">
        <x:is>
          <x:t xml:space="preserve">Financial Profile</x:t>
        </x:is>
      </x:c>
      <x:c r="D23" s="11" t="inlineStr">
        <x:is>
          <x:t xml:space="preserve">API</x:t>
        </x:is>
      </x:c>
      <x:c r="E23" s="9" t="inlineStr">
        <x:is>
          <x:t xml:space="preserve">PUT /api/v1/users/me/financial-profile</x:t>
        </x:is>
      </x:c>
      <x:c r="F23" s="9" t="inlineStr">
        <x:is>
          <x:t xml:space="preserve">현금성 자산 null 입력 시 기본값 적용</x:t>
        </x:is>
      </x:c>
      <x:c r="G23" s="9" t="inlineStr">
        <x:is>
          <x:t xml:space="preserve">로그인 완료</x:t>
        </x:is>
      </x:c>
      <x:c r="H23" s="9" t="inlineStr">
        <x:is>
          <x:t xml:space="preserve">cashAssetsExclGoalSavedInput=null</x:t>
        </x:is>
      </x:c>
      <x:c r="I23" s="9" t="inlineStr">
        <x:is>
          <x:t xml:space="preserve">1) 프로필 저장</x:t>
        </x:is>
      </x:c>
      <x:c r="J23" s="9" t="inlineStr">
        <x:is>
          <x:t xml:space="preserve">200, cashAssetsSource=default_zero</x:t>
        </x:is>
      </x:c>
      <x:c r="K23" s="9" t="inlineStr">
        <x:is>
          <x:t xml:space="preserve"/>
        </x:is>
      </x:c>
      <x:c r="L23" s="9" t="inlineStr">
        <x:is>
          <x:t xml:space="preserve">Yes</x:t>
        </x:is>
      </x:c>
      <x:c r="M23" s="9" t="inlineStr">
        <x:is>
          <x:t xml:space="preserve"/>
        </x:is>
      </x:c>
      <x:c r="N23" s="9" t="inlineStr">
        <x:is>
          <x:t xml:space="preserve">Not Run</x:t>
        </x:is>
      </x:c>
    </x:row>
    <x:row r="24" ht="36" customHeight="1">
      <x:c r="A24" s="9" t="inlineStr">
        <x:is>
          <x:t xml:space="preserve">PRF-010</x:t>
        </x:is>
      </x:c>
      <x:c r="B24" s="12" t="inlineStr">
        <x:is>
          <x:t xml:space="preserve">P1</x:t>
        </x:is>
      </x:c>
      <x:c r="C24" s="9" t="inlineStr">
        <x:is>
          <x:t xml:space="preserve">Financial Profile</x:t>
        </x:is>
      </x:c>
      <x:c r="D24" s="11" t="inlineStr">
        <x:is>
          <x:t xml:space="preserve">API</x:t>
        </x:is>
      </x:c>
      <x:c r="E24" s="9" t="inlineStr">
        <x:is>
          <x:t xml:space="preserve">PUT /api/v1/users/me/financial-profile</x:t>
        </x:is>
      </x:c>
      <x:c r="F24" s="9" t="inlineStr">
        <x:is>
          <x:t xml:space="preserve">현금성 자산과 목표분리금 설명에 맞는 입력</x:t>
        </x:is>
      </x:c>
      <x:c r="G24" s="9" t="inlineStr">
        <x:is>
          <x:t xml:space="preserve">로그인 완료</x:t>
        </x:is>
      </x:c>
      <x:c r="H24" s="9" t="inlineStr">
        <x:is>
          <x:t xml:space="preserve">cashAssetsExclGoalSavedInput=1500000</x:t>
        </x:is>
      </x:c>
      <x:c r="I24" s="9" t="inlineStr">
        <x:is>
          <x:t xml:space="preserve">1) 프로필 저장 후 goal 저장</x:t>
        </x:is>
      </x:c>
      <x:c r="J24" s="9" t="inlineStr">
        <x:is>
          <x:t xml:space="preserve">비상금 계산은 C만, 목표 진행률은 Gsaved만 사용</x:t>
        </x:is>
      </x:c>
      <x:c r="K24" s="9" t="inlineStr">
        <x:is>
          <x:t xml:space="preserve"/>
        </x:is>
      </x:c>
      <x:c r="L24" s="9" t="inlineStr">
        <x:is>
          <x:t xml:space="preserve">No</x:t>
        </x:is>
      </x:c>
      <x:c r="M24" s="9" t="inlineStr">
        <x:is>
          <x:t xml:space="preserve">E2E/도메인 확인</x:t>
        </x:is>
      </x:c>
      <x:c r="N24" s="9" t="inlineStr">
        <x:is>
          <x:t xml:space="preserve">Not Run</x:t>
        </x:is>
      </x:c>
    </x:row>
    <x:row r="25" ht="36" customHeight="1">
      <x:c r="A25" s="9" t="inlineStr">
        <x:is>
          <x:t xml:space="preserve">GOAL-001</x:t>
        </x:is>
      </x:c>
      <x:c r="B25" s="10" t="inlineStr">
        <x:is>
          <x:t xml:space="preserve">P0</x:t>
        </x:is>
      </x:c>
      <x:c r="C25" s="9" t="inlineStr">
        <x:is>
          <x:t xml:space="preserve">Primary Goal</x:t>
        </x:is>
      </x:c>
      <x:c r="D25" s="11" t="inlineStr">
        <x:is>
          <x:t xml:space="preserve">API</x:t>
        </x:is>
      </x:c>
      <x:c r="E25" s="9" t="inlineStr">
        <x:is>
          <x:t xml:space="preserve">PUT /api/v1/users/me/primary-goal</x:t>
        </x:is>
      </x:c>
      <x:c r="F25" s="9" t="inlineStr">
        <x:is>
          <x:t xml:space="preserve">개인 목표 저장 성공</x:t>
        </x:is>
      </x:c>
      <x:c r="G25" s="9" t="inlineStr">
        <x:is>
          <x:t xml:space="preserve">로그인 완료</x:t>
        </x:is>
      </x:c>
      <x:c r="H25" s="9" t="inlineStr">
        <x:is>
          <x:t xml:space="preserve">goalType=housing, goalTargetAmount=10000000, goalTargetYearMonth=2027-02</x:t>
        </x:is>
      </x:c>
      <x:c r="I25" s="9" t="inlineStr">
        <x:is>
          <x:t xml:space="preserve">1) 목표 저장</x:t>
        </x:is>
      </x:c>
      <x:c r="J25" s="9" t="inlineStr">
        <x:is>
          <x:t xml:space="preserve">200, goalStatus=active</x:t>
        </x:is>
      </x:c>
      <x:c r="K25" s="9" t="inlineStr">
        <x:is>
          <x:t xml:space="preserve"/>
        </x:is>
      </x:c>
      <x:c r="L25" s="9" t="inlineStr">
        <x:is>
          <x:t xml:space="preserve">Yes</x:t>
        </x:is>
      </x:c>
      <x:c r="M25" s="9" t="inlineStr">
        <x:is>
          <x:t xml:space="preserve"/>
        </x:is>
      </x:c>
      <x:c r="N25" s="9" t="inlineStr">
        <x:is>
          <x:t xml:space="preserve">Not Run</x:t>
        </x:is>
      </x:c>
    </x:row>
    <x:row r="26" ht="36" customHeight="1">
      <x:c r="A26" s="9" t="inlineStr">
        <x:is>
          <x:t xml:space="preserve">GOAL-002</x:t>
        </x:is>
      </x:c>
      <x:c r="B26" s="10" t="inlineStr">
        <x:is>
          <x:t xml:space="preserve">P0</x:t>
        </x:is>
      </x:c>
      <x:c r="C26" s="9" t="inlineStr">
        <x:is>
          <x:t xml:space="preserve">Primary Goal</x:t>
        </x:is>
      </x:c>
      <x:c r="D26" s="11" t="inlineStr">
        <x:is>
          <x:t xml:space="preserve">API</x:t>
        </x:is>
      </x:c>
      <x:c r="E26" s="9" t="inlineStr">
        <x:is>
          <x:t xml:space="preserve">PUT /api/v1/users/me/primary-goal</x:t>
        </x:is>
      </x:c>
      <x:c r="F26" s="9" t="inlineStr">
        <x:is>
          <x:t xml:space="preserve">과거 목표 월 저장 거부</x:t>
        </x:is>
      </x:c>
      <x:c r="G26" s="9" t="inlineStr">
        <x:is>
          <x:t xml:space="preserve">로그인 완료</x:t>
        </x:is>
      </x:c>
      <x:c r="H26" s="9" t="inlineStr">
        <x:is>
          <x:t xml:space="preserve">goalTargetYearMonth=2025-12</x:t>
        </x:is>
      </x:c>
      <x:c r="I26" s="9" t="inlineStr">
        <x:is>
          <x:t xml:space="preserve">1) 목표 저장</x:t>
        </x:is>
      </x:c>
      <x:c r="J26" s="9" t="inlineStr">
        <x:is>
          <x:t xml:space="preserve">422, details.field=goalTargetYearMonth</x:t>
        </x:is>
      </x:c>
      <x:c r="K26" s="9" t="inlineStr">
        <x:is>
          <x:t xml:space="preserve">VALIDATION_ERROR</x:t>
        </x:is>
      </x:c>
      <x:c r="L26" s="9" t="inlineStr">
        <x:is>
          <x:t xml:space="preserve">Yes</x:t>
        </x:is>
      </x:c>
      <x:c r="M26" s="9" t="inlineStr">
        <x:is>
          <x:t xml:space="preserve">KST 현재월 기준</x:t>
        </x:is>
      </x:c>
      <x:c r="N26" s="9" t="inlineStr">
        <x:is>
          <x:t xml:space="preserve">Not Run</x:t>
        </x:is>
      </x:c>
    </x:row>
    <x:row r="27" ht="36" customHeight="1">
      <x:c r="A27" s="9" t="inlineStr">
        <x:is>
          <x:t xml:space="preserve">GOAL-003</x:t>
        </x:is>
      </x:c>
      <x:c r="B27" s="12" t="inlineStr">
        <x:is>
          <x:t xml:space="preserve">P1</x:t>
        </x:is>
      </x:c>
      <x:c r="C27" s="9" t="inlineStr">
        <x:is>
          <x:t xml:space="preserve">Primary Goal</x:t>
        </x:is>
      </x:c>
      <x:c r="D27" s="11" t="inlineStr">
        <x:is>
          <x:t xml:space="preserve">API</x:t>
        </x:is>
      </x:c>
      <x:c r="E27" s="9" t="inlineStr">
        <x:is>
          <x:t xml:space="preserve">PUT /api/v1/users/me/primary-goal</x:t>
        </x:is>
      </x:c>
      <x:c r="F27" s="9" t="inlineStr">
        <x:is>
          <x:t xml:space="preserve">현재월+120개월 초과 목표 월 거부</x:t>
        </x:is>
      </x:c>
      <x:c r="G27" s="9" t="inlineStr">
        <x:is>
          <x:t xml:space="preserve">로그인 완료</x:t>
        </x:is>
      </x:c>
      <x:c r="H27" s="9" t="inlineStr">
        <x:is>
          <x:t xml:space="preserve">goalTargetYearMonth=2037-01</x:t>
        </x:is>
      </x:c>
      <x:c r="I27" s="9" t="inlineStr">
        <x:is>
          <x:t xml:space="preserve">1) 목표 저장</x:t>
        </x:is>
      </x:c>
      <x:c r="J27" s="9" t="inlineStr">
        <x:is>
          <x:t xml:space="preserve">422</x:t>
        </x:is>
      </x:c>
      <x:c r="K27" s="9" t="inlineStr">
        <x:is>
          <x:t xml:space="preserve">VALIDATION_ERROR</x:t>
        </x:is>
      </x:c>
      <x:c r="L27" s="9" t="inlineStr">
        <x:is>
          <x:t xml:space="preserve">Yes</x:t>
        </x:is>
      </x:c>
      <x:c r="M27" s="9" t="inlineStr">
        <x:is>
          <x:t xml:space="preserve">상한 검증</x:t>
        </x:is>
      </x:c>
      <x:c r="N27" s="9" t="inlineStr">
        <x:is>
          <x:t xml:space="preserve">Not Run</x:t>
        </x:is>
      </x:c>
    </x:row>
    <x:row r="28" ht="36" customHeight="1">
      <x:c r="A28" s="9" t="inlineStr">
        <x:is>
          <x:t xml:space="preserve">GOAL-004</x:t>
        </x:is>
      </x:c>
      <x:c r="B28" s="10" t="inlineStr">
        <x:is>
          <x:t xml:space="preserve">P0</x:t>
        </x:is>
      </x:c>
      <x:c r="C28" s="9" t="inlineStr">
        <x:is>
          <x:t xml:space="preserve">Primary Goal</x:t>
        </x:is>
      </x:c>
      <x:c r="D28" s="11" t="inlineStr">
        <x:is>
          <x:t xml:space="preserve">API</x:t>
        </x:is>
      </x:c>
      <x:c r="E28" s="9" t="inlineStr">
        <x:is>
          <x:t xml:space="preserve">PUT /api/v1/users/me/primary-goal</x:t>
        </x:is>
      </x:c>
      <x:c r="F28" s="9" t="inlineStr">
        <x:is>
          <x:t xml:space="preserve">이미 모은 목표 자금이 목표금액 초과 시 거부</x:t>
        </x:is>
      </x:c>
      <x:c r="G28" s="9" t="inlineStr">
        <x:is>
          <x:t xml:space="preserve">로그인 완료</x:t>
        </x:is>
      </x:c>
      <x:c r="H28" s="9" t="inlineStr">
        <x:is>
          <x:t xml:space="preserve">goalTargetAmount=1000000, goalSavedAmountInput=1500000</x:t>
        </x:is>
      </x:c>
      <x:c r="I28" s="9" t="inlineStr">
        <x:is>
          <x:t xml:space="preserve">1) 목표 저장</x:t>
        </x:is>
      </x:c>
      <x:c r="J28" s="9" t="inlineStr">
        <x:is>
          <x:t xml:space="preserve">422, details.field=goalSavedAmountInput</x:t>
        </x:is>
      </x:c>
      <x:c r="K28" s="9" t="inlineStr">
        <x:is>
          <x:t xml:space="preserve">VALIDATION_ERROR</x:t>
        </x:is>
      </x:c>
      <x:c r="L28" s="9" t="inlineStr">
        <x:is>
          <x:t xml:space="preserve">Yes</x:t>
        </x:is>
      </x:c>
      <x:c r="M28" s="9" t="inlineStr">
        <x:is>
          <x:t xml:space="preserve">silent clamp 금지</x:t>
        </x:is>
      </x:c>
      <x:c r="N28" s="9" t="inlineStr">
        <x:is>
          <x:t xml:space="preserve">Not Run</x:t>
        </x:is>
      </x:c>
    </x:row>
    <x:row r="29" ht="36" customHeight="1">
      <x:c r="A29" s="9" t="inlineStr">
        <x:is>
          <x:t xml:space="preserve">GOAL-005</x:t>
        </x:is>
      </x:c>
      <x:c r="B29" s="12" t="inlineStr">
        <x:is>
          <x:t xml:space="preserve">P1</x:t>
        </x:is>
      </x:c>
      <x:c r="C29" s="9" t="inlineStr">
        <x:is>
          <x:t xml:space="preserve">Primary Goal</x:t>
        </x:is>
      </x:c>
      <x:c r="D29" s="11" t="inlineStr">
        <x:is>
          <x:t xml:space="preserve">API</x:t>
        </x:is>
      </x:c>
      <x:c r="E29" s="9" t="inlineStr">
        <x:is>
          <x:t xml:space="preserve">PUT /api/v1/users/me/primary-goal</x:t>
        </x:is>
      </x:c>
      <x:c r="F29" s="9" t="inlineStr">
        <x:is>
          <x:t xml:space="preserve">알 수 없는 필드 추가 시 거부</x:t>
        </x:is>
      </x:c>
      <x:c r="G29" s="9" t="inlineStr">
        <x:is>
          <x:t xml:space="preserve">로그인 완료</x:t>
        </x:is>
      </x:c>
      <x:c r="H29" s="9" t="inlineStr">
        <x:is>
          <x:t xml:space="preserve">unexpectedField=1</x:t>
        </x:is>
      </x:c>
      <x:c r="I29" s="9" t="inlineStr">
        <x:is>
          <x:t xml:space="preserve">1) 목표 저장</x:t>
        </x:is>
      </x:c>
      <x:c r="J29" s="9" t="inlineStr">
        <x:is>
          <x:t xml:space="preserve">422</x:t>
        </x:is>
      </x:c>
      <x:c r="K29" s="9" t="inlineStr">
        <x:is>
          <x:t xml:space="preserve">VALIDATION_ERROR</x:t>
        </x:is>
      </x:c>
      <x:c r="L29" s="9" t="inlineStr">
        <x:is>
          <x:t xml:space="preserve">Yes</x:t>
        </x:is>
      </x:c>
      <x:c r="M29" s="9" t="inlineStr">
        <x:is>
          <x:t xml:space="preserve">additionalProperties=false</x:t>
        </x:is>
      </x:c>
      <x:c r="N29" s="9" t="inlineStr">
        <x:is>
          <x:t xml:space="preserve">Not Run</x:t>
        </x:is>
      </x:c>
    </x:row>
    <x:row r="30" ht="36" customHeight="1">
      <x:c r="A30" s="9" t="inlineStr">
        <x:is>
          <x:t xml:space="preserve">GOAL-006</x:t>
        </x:is>
      </x:c>
      <x:c r="B30" s="12" t="inlineStr">
        <x:is>
          <x:t xml:space="preserve">P1</x:t>
        </x:is>
      </x:c>
      <x:c r="C30" s="9" t="inlineStr">
        <x:is>
          <x:t xml:space="preserve">Primary Goal</x:t>
        </x:is>
      </x:c>
      <x:c r="D30" s="11" t="inlineStr">
        <x:is>
          <x:t xml:space="preserve">API</x:t>
        </x:is>
      </x:c>
      <x:c r="E30" s="9" t="inlineStr">
        <x:is>
          <x:t xml:space="preserve">PUT /api/v1/users/me/primary-goal</x:t>
        </x:is>
      </x:c>
      <x:c r="F30" s="9" t="inlineStr">
        <x:is>
          <x:t xml:space="preserve">허용되지 않은 goalType enum 거부</x:t>
        </x:is>
      </x:c>
      <x:c r="G30" s="9" t="inlineStr">
        <x:is>
          <x:t xml:space="preserve">로그인 완료</x:t>
        </x:is>
      </x:c>
      <x:c r="H30" s="9" t="inlineStr">
        <x:is>
          <x:t xml:space="preserve">goalType=emergency_fund</x:t>
        </x:is>
      </x:c>
      <x:c r="I30" s="9" t="inlineStr">
        <x:is>
          <x:t xml:space="preserve">1) 목표 저장</x:t>
        </x:is>
      </x:c>
      <x:c r="J30" s="9" t="inlineStr">
        <x:is>
          <x:t xml:space="preserve">422</x:t>
        </x:is>
      </x:c>
      <x:c r="K30" s="9" t="inlineStr">
        <x:is>
          <x:t xml:space="preserve">VALIDATION_ERROR</x:t>
        </x:is>
      </x:c>
      <x:c r="L30" s="9" t="inlineStr">
        <x:is>
          <x:t xml:space="preserve">Yes</x:t>
        </x:is>
      </x:c>
      <x:c r="M30" s="9" t="inlineStr">
        <x:is>
          <x:t xml:space="preserve">비상금/부채상환 제외</x:t>
        </x:is>
      </x:c>
      <x:c r="N30" s="9" t="inlineStr">
        <x:is>
          <x:t xml:space="preserve">Not Run</x:t>
        </x:is>
      </x:c>
    </x:row>
    <x:row r="31" ht="36" customHeight="1">
      <x:c r="A31" s="9" t="inlineStr">
        <x:is>
          <x:t xml:space="preserve">PPV-001</x:t>
        </x:is>
      </x:c>
      <x:c r="B31" s="10" t="inlineStr">
        <x:is>
          <x:t xml:space="preserve">P0</x:t>
        </x:is>
      </x:c>
      <x:c r="C31" s="9" t="inlineStr">
        <x:is>
          <x:t xml:space="preserve">Plan Preview</x:t>
        </x:is>
      </x:c>
      <x:c r="D31" s="11" t="inlineStr">
        <x:is>
          <x:t xml:space="preserve">API</x:t>
        </x:is>
      </x:c>
      <x:c r="E31" s="9" t="inlineStr">
        <x:is>
          <x:t xml:space="preserve">POST /api/v1/users/me/plan-previews</x:t>
        </x:is>
      </x:c>
      <x:c r="F31" s="9" t="inlineStr">
        <x:is>
          <x:t xml:space="preserve">yearMonth 미입력 시 현재월 미리보기 생성</x:t>
        </x:is>
      </x:c>
      <x:c r="G31" s="9" t="inlineStr">
        <x:is>
          <x:t xml:space="preserve">profile/goal ready</x:t>
        </x:is>
      </x:c>
      <x:c r="H31" s="9" t="inlineStr">
        <x:is>
          <x:t xml:space="preserve">yearMonth=null, sourceContext=onboarding</x:t>
        </x:is>
      </x:c>
      <x:c r="I31" s="9" t="inlineStr">
        <x:is>
          <x:t xml:space="preserve">1) 미리보기 생성</x:t>
        </x:is>
      </x:c>
      <x:c r="J31" s="9" t="inlineStr">
        <x:is>
          <x:t xml:space="preserve">201, preview.yearMonth=current KST month</x:t>
        </x:is>
      </x:c>
      <x:c r="K31" s="9" t="inlineStr">
        <x:is>
          <x:t xml:space="preserve"/>
        </x:is>
      </x:c>
      <x:c r="L31" s="9" t="inlineStr">
        <x:is>
          <x:t xml:space="preserve">Yes</x:t>
        </x:is>
      </x:c>
      <x:c r="M31" s="9" t="inlineStr">
        <x:is>
          <x:t xml:space="preserve"/>
        </x:is>
      </x:c>
      <x:c r="N31" s="9" t="inlineStr">
        <x:is>
          <x:t xml:space="preserve">Not Run</x:t>
        </x:is>
      </x:c>
    </x:row>
    <x:row r="32" ht="36" customHeight="1">
      <x:c r="A32" s="9" t="inlineStr">
        <x:is>
          <x:t xml:space="preserve">PPV-002</x:t>
        </x:is>
      </x:c>
      <x:c r="B32" s="10" t="inlineStr">
        <x:is>
          <x:t xml:space="preserve">P0</x:t>
        </x:is>
      </x:c>
      <x:c r="C32" s="9" t="inlineStr">
        <x:is>
          <x:t xml:space="preserve">Plan Preview</x:t>
        </x:is>
      </x:c>
      <x:c r="D32" s="11" t="inlineStr">
        <x:is>
          <x:t xml:space="preserve">API</x:t>
        </x:is>
      </x:c>
      <x:c r="E32" s="9" t="inlineStr">
        <x:is>
          <x:t xml:space="preserve">POST /api/v1/users/me/plan-previews</x:t>
        </x:is>
      </x:c>
      <x:c r="F32" s="9" t="inlineStr">
        <x:is>
          <x:t xml:space="preserve">명시한 월로 미리보기 생성</x:t>
        </x:is>
      </x:c>
      <x:c r="G32" s="9" t="inlineStr">
        <x:is>
          <x:t xml:space="preserve">profile/goal ready</x:t>
        </x:is>
      </x:c>
      <x:c r="H32" s="9" t="inlineStr">
        <x:is>
          <x:t xml:space="preserve">yearMonth=2026-04</x:t>
        </x:is>
      </x:c>
      <x:c r="I32" s="9" t="inlineStr">
        <x:is>
          <x:t xml:space="preserve">1) 미리보기 생성</x:t>
        </x:is>
      </x:c>
      <x:c r="J32" s="9" t="inlineStr">
        <x:is>
          <x:t xml:space="preserve">201, preview.yearMonth=2026-04</x:t>
        </x:is>
      </x:c>
      <x:c r="K32" s="9" t="inlineStr">
        <x:is>
          <x:t xml:space="preserve"/>
        </x:is>
      </x:c>
      <x:c r="L32" s="9" t="inlineStr">
        <x:is>
          <x:t xml:space="preserve">Yes</x:t>
        </x:is>
      </x:c>
      <x:c r="M32" s="9" t="inlineStr">
        <x:is>
          <x:t xml:space="preserve"/>
        </x:is>
      </x:c>
      <x:c r="N32" s="9" t="inlineStr">
        <x:is>
          <x:t xml:space="preserve">Not Run</x:t>
        </x:is>
      </x:c>
    </x:row>
    <x:row r="33" ht="36" customHeight="1">
      <x:c r="A33" s="9" t="inlineStr">
        <x:is>
          <x:t xml:space="preserve">PPV-003</x:t>
        </x:is>
      </x:c>
      <x:c r="B33" s="10" t="inlineStr">
        <x:is>
          <x:t xml:space="preserve">P0</x:t>
        </x:is>
      </x:c>
      <x:c r="C33" s="9" t="inlineStr">
        <x:is>
          <x:t xml:space="preserve">Plan Preview</x:t>
        </x:is>
      </x:c>
      <x:c r="D33" s="11" t="inlineStr">
        <x:is>
          <x:t xml:space="preserve">API</x:t>
        </x:is>
      </x:c>
      <x:c r="E33" s="9" t="inlineStr">
        <x:is>
          <x:t xml:space="preserve">POST /api/v1/users/me/plan-previews</x:t>
        </x:is>
      </x:c>
      <x:c r="F33" s="9" t="inlineStr">
        <x:is>
          <x:t xml:space="preserve">profile 미완성 상태에서 생성 차단</x:t>
        </x:is>
      </x:c>
      <x:c r="G33" s="9" t="inlineStr">
        <x:is>
          <x:t xml:space="preserve">profile 또는 goal 누락</x:t>
        </x:is>
      </x:c>
      <x:c r="H33" s="9" t="inlineStr">
        <x:is>
          <x:t xml:space="preserve">없음</x:t>
        </x:is>
      </x:c>
      <x:c r="I33" s="9" t="inlineStr">
        <x:is>
          <x:t xml:space="preserve">1) 미리보기 생성</x:t>
        </x:is>
      </x:c>
      <x:c r="J33" s="9" t="inlineStr">
        <x:is>
          <x:t xml:space="preserve">409 PROFILE_NOT_READY</x:t>
        </x:is>
      </x:c>
      <x:c r="K33" s="9" t="inlineStr">
        <x:is>
          <x:t xml:space="preserve">PROFILE_NOT_READY</x:t>
        </x:is>
      </x:c>
      <x:c r="L33" s="9" t="inlineStr">
        <x:is>
          <x:t xml:space="preserve">Yes</x:t>
        </x:is>
      </x:c>
      <x:c r="M33" s="9" t="inlineStr">
        <x:is>
          <x:t xml:space="preserve"/>
        </x:is>
      </x:c>
      <x:c r="N33" s="9" t="inlineStr">
        <x:is>
          <x:t xml:space="preserve">Not Run</x:t>
        </x:is>
      </x:c>
    </x:row>
    <x:row r="34" ht="36" customHeight="1">
      <x:c r="A34" s="9" t="inlineStr">
        <x:is>
          <x:t xml:space="preserve">PPV-004</x:t>
        </x:is>
      </x:c>
      <x:c r="B34" s="12" t="inlineStr">
        <x:is>
          <x:t xml:space="preserve">P1</x:t>
        </x:is>
      </x:c>
      <x:c r="C34" s="9" t="inlineStr">
        <x:is>
          <x:t xml:space="preserve">Plan Preview</x:t>
        </x:is>
      </x:c>
      <x:c r="D34" s="11" t="inlineStr">
        <x:is>
          <x:t xml:space="preserve">API</x:t>
        </x:is>
      </x:c>
      <x:c r="E34" s="9" t="inlineStr">
        <x:is>
          <x:t xml:space="preserve">POST /api/v1/users/me/plan-previews</x:t>
        </x:is>
      </x:c>
      <x:c r="F34" s="9" t="inlineStr">
        <x:is>
          <x:t xml:space="preserve">잘못된 yearMonth 패턴 거부</x:t>
        </x:is>
      </x:c>
      <x:c r="G34" s="9" t="inlineStr">
        <x:is>
          <x:t xml:space="preserve">profile/goal ready</x:t>
        </x:is>
      </x:c>
      <x:c r="H34" s="9" t="inlineStr">
        <x:is>
          <x:t xml:space="preserve">yearMonth=2026/03</x:t>
        </x:is>
      </x:c>
      <x:c r="I34" s="9" t="inlineStr">
        <x:is>
          <x:t xml:space="preserve">1) 미리보기 생성</x:t>
        </x:is>
      </x:c>
      <x:c r="J34" s="9" t="inlineStr">
        <x:is>
          <x:t xml:space="preserve">422</x:t>
        </x:is>
      </x:c>
      <x:c r="K34" s="9" t="inlineStr">
        <x:is>
          <x:t xml:space="preserve">VALIDATION_ERROR</x:t>
        </x:is>
      </x:c>
      <x:c r="L34" s="9" t="inlineStr">
        <x:is>
          <x:t xml:space="preserve">Yes</x:t>
        </x:is>
      </x:c>
      <x:c r="M34" s="9" t="inlineStr">
        <x:is>
          <x:t xml:space="preserve"/>
        </x:is>
      </x:c>
      <x:c r="N34" s="9" t="inlineStr">
        <x:is>
          <x:t xml:space="preserve">Not Run</x:t>
        </x:is>
      </x:c>
    </x:row>
    <x:row r="35" ht="36" customHeight="1">
      <x:c r="A35" s="9" t="inlineStr">
        <x:is>
          <x:t xml:space="preserve">PPV-005</x:t>
        </x:is>
      </x:c>
      <x:c r="B35" s="12" t="inlineStr">
        <x:is>
          <x:t xml:space="preserve">P1</x:t>
        </x:is>
      </x:c>
      <x:c r="C35" s="9" t="inlineStr">
        <x:is>
          <x:t xml:space="preserve">Plan Preview</x:t>
        </x:is>
      </x:c>
      <x:c r="D35" s="11" t="inlineStr">
        <x:is>
          <x:t xml:space="preserve">API</x:t>
        </x:is>
      </x:c>
      <x:c r="E35" s="9" t="inlineStr">
        <x:is>
          <x:t xml:space="preserve">POST /api/v1/users/me/plan-previews</x:t>
        </x:is>
      </x:c>
      <x:c r="F35" s="9" t="inlineStr">
        <x:is>
          <x:t xml:space="preserve">같은 월 새 미리보기 생성 시 이전 issued token invalidated</x:t>
        </x:is>
      </x:c>
      <x:c r="G35" s="9" t="inlineStr">
        <x:is>
          <x:t xml:space="preserve">profile/goal ready</x:t>
        </x:is>
      </x:c>
      <x:c r="H35" s="9" t="inlineStr">
        <x:is>
          <x:t xml:space="preserve">동일 월 2회 호출</x:t>
        </x:is>
      </x:c>
      <x:c r="I35" s="9" t="inlineStr">
        <x:is>
          <x:t xml:space="preserve">1) 1차 생성 2) 2차 생성 3) 1차 token accept</x:t>
        </x:is>
      </x:c>
      <x:c r="J35" s="9" t="inlineStr">
        <x:is>
          <x:t xml:space="preserve">1차 token accept 시 409 PREVIEW_TOKEN_INVALIDATED</x:t>
        </x:is>
      </x:c>
      <x:c r="K35" s="9" t="inlineStr">
        <x:is>
          <x:t xml:space="preserve">PREVIEW_TOKEN_INVALIDATED</x:t>
        </x:is>
      </x:c>
      <x:c r="L35" s="9" t="inlineStr">
        <x:is>
          <x:t xml:space="preserve">Yes</x:t>
        </x:is>
      </x:c>
      <x:c r="M35" s="9" t="inlineStr">
        <x:is>
          <x:t xml:space="preserve">issued 1개 규칙</x:t>
        </x:is>
      </x:c>
      <x:c r="N35" s="9" t="inlineStr">
        <x:is>
          <x:t xml:space="preserve">Not Run</x:t>
        </x:is>
      </x:c>
    </x:row>
    <x:row r="36" ht="36" customHeight="1">
      <x:c r="A36" s="9" t="inlineStr">
        <x:is>
          <x:t xml:space="preserve">PPV-006</x:t>
        </x:is>
      </x:c>
      <x:c r="B36" s="10" t="inlineStr">
        <x:is>
          <x:t xml:space="preserve">P0</x:t>
        </x:is>
      </x:c>
      <x:c r="C36" s="9" t="inlineStr">
        <x:is>
          <x:t xml:space="preserve">Plan Preview</x:t>
        </x:is>
      </x:c>
      <x:c r="D36" s="11" t="inlineStr">
        <x:is>
          <x:t xml:space="preserve">API</x:t>
        </x:is>
      </x:c>
      <x:c r="E36" s="9" t="inlineStr">
        <x:is>
          <x:t xml:space="preserve">POST /api/v1/users/me/plan-previews</x:t>
        </x:is>
      </x:c>
      <x:c r="F36" s="9" t="inlineStr">
        <x:is>
          <x:t xml:space="preserve">미리보기 응답 필수 구성 확인</x:t>
        </x:is>
      </x:c>
      <x:c r="G36" s="9" t="inlineStr">
        <x:is>
          <x:t xml:space="preserve">profile/goal ready</x:t>
        </x:is>
      </x:c>
      <x:c r="H36" s="9" t="inlineStr">
        <x:is>
          <x:t xml:space="preserve">정상 데이터</x:t>
        </x:is>
      </x:c>
      <x:c r="I36" s="9" t="inlineStr">
        <x:is>
          <x:t xml:space="preserve">1) 미리보기 생성</x:t>
        </x:is>
      </x:c>
      <x:c r="J36" s="9" t="inlineStr">
        <x:is>
          <x:t xml:space="preserve">previewToken, draftHash, assumptions, calculationBasis, currentAction 포함</x:t>
        </x:is>
      </x:c>
      <x:c r="K36" s="9" t="inlineStr">
        <x:is>
          <x:t xml:space="preserve"/>
        </x:is>
      </x:c>
      <x:c r="L36" s="9" t="inlineStr">
        <x:is>
          <x:t xml:space="preserve">Yes</x:t>
        </x:is>
      </x:c>
      <x:c r="M36" s="9" t="inlineStr">
        <x:is>
          <x:t xml:space="preserve">홈/수정 화면 의존</x:t>
        </x:is>
      </x:c>
      <x:c r="N36" s="9" t="inlineStr">
        <x:is>
          <x:t xml:space="preserve">Not Run</x:t>
        </x:is>
      </x:c>
    </x:row>
    <x:row r="37" ht="36" customHeight="1">
      <x:c r="A37" s="9" t="inlineStr">
        <x:is>
          <x:t xml:space="preserve">PPV-007</x:t>
        </x:is>
      </x:c>
      <x:c r="B37" s="10" t="inlineStr">
        <x:is>
          <x:t xml:space="preserve">P0</x:t>
        </x:is>
      </x:c>
      <x:c r="C37" s="9" t="inlineStr">
        <x:is>
          <x:t xml:space="preserve">Plan Preview</x:t>
        </x:is>
      </x:c>
      <x:c r="D37" s="11" t="inlineStr">
        <x:is>
          <x:t xml:space="preserve">API</x:t>
        </x:is>
      </x:c>
      <x:c r="E37" s="9" t="inlineStr">
        <x:is>
          <x:t xml:space="preserve">POST /api/v1/users/me/plan-previews</x:t>
        </x:is>
      </x:c>
      <x:c r="F37" s="9" t="inlineStr">
        <x:is>
          <x:t xml:space="preserve">fixed_obligation_deficit 계산 확인</x:t>
        </x:is>
      </x:c>
      <x:c r="G37" s="9" t="inlineStr">
        <x:is>
          <x:t xml:space="preserve">N&lt;F+D 데이터 준비</x:t>
        </x:is>
      </x:c>
      <x:c r="H37" s="9" t="inlineStr">
        <x:is>
          <x:t xml:space="preserve">N=100만, F=90만, D=20만</x:t>
        </x:is>
      </x:c>
      <x:c r="I37" s="9" t="inlineStr">
        <x:is>
          <x:t xml:space="preserve">1) 미리보기 생성</x:t>
        </x:is>
      </x:c>
      <x:c r="J37" s="9" t="inlineStr">
        <x:is>
          <x:t xml:space="preserve">budgetState=fixed_obligation_deficit, living/free/saving/extra=0, fixedObligationGap&gt;0</x:t>
        </x:is>
      </x:c>
      <x:c r="K37" s="9" t="inlineStr">
        <x:is>
          <x:t xml:space="preserve"/>
        </x:is>
      </x:c>
      <x:c r="L37" s="9" t="inlineStr">
        <x:is>
          <x:t xml:space="preserve">Yes</x:t>
        </x:is>
      </x:c>
      <x:c r="M37" s="9" t="inlineStr">
        <x:is>
          <x:t xml:space="preserve">수학 충돌 방지</x:t>
        </x:is>
      </x:c>
      <x:c r="N37" s="9" t="inlineStr">
        <x:is>
          <x:t xml:space="preserve">Not Run</x:t>
        </x:is>
      </x:c>
    </x:row>
    <x:row r="38" ht="36" customHeight="1">
      <x:c r="A38" s="9" t="inlineStr">
        <x:is>
          <x:t xml:space="preserve">PPV-008</x:t>
        </x:is>
      </x:c>
      <x:c r="B38" s="10" t="inlineStr">
        <x:is>
          <x:t xml:space="preserve">P0</x:t>
        </x:is>
      </x:c>
      <x:c r="C38" s="9" t="inlineStr">
        <x:is>
          <x:t xml:space="preserve">Plan Preview</x:t>
        </x:is>
      </x:c>
      <x:c r="D38" s="11" t="inlineStr">
        <x:is>
          <x:t xml:space="preserve">API</x:t>
        </x:is>
      </x:c>
      <x:c r="E38" s="9" t="inlineStr">
        <x:is>
          <x:t xml:space="preserve">POST /api/v1/users/me/plan-previews</x:t>
        </x:is>
      </x:c>
      <x:c r="F38" s="9" t="inlineStr">
        <x:is>
          <x:t xml:space="preserve">living_squeeze 계산 확인</x:t>
        </x:is>
      </x:c>
      <x:c r="G38" s="9" t="inlineStr">
        <x:is>
          <x:t xml:space="preserve">F+D&lt;=N&lt;F+D+Lref 데이터 준비</x:t>
        </x:is>
      </x:c>
      <x:c r="H38" s="9" t="inlineStr">
        <x:is>
          <x:t xml:space="preserve">예: N=200만, F=120만, D=10만, V=150만</x:t>
        </x:is>
      </x:c>
      <x:c r="I38" s="9" t="inlineStr">
        <x:is>
          <x:t xml:space="preserve">1) 미리보기 생성</x:t>
        </x:is>
      </x:c>
      <x:c r="J38" s="9" t="inlineStr">
        <x:is>
          <x:t xml:space="preserve">budgetState=living_squeeze, livingBudget=N-F-D, free/saving/extra=0, livingBudgetGap&gt;0</x:t>
        </x:is>
      </x:c>
      <x:c r="K38" s="9" t="inlineStr">
        <x:is>
          <x:t xml:space="preserve"/>
        </x:is>
      </x:c>
      <x:c r="L38" s="9" t="inlineStr">
        <x:is>
          <x:t xml:space="preserve">Yes</x:t>
        </x:is>
      </x:c>
      <x:c r="M38" s="9" t="inlineStr">
        <x:is>
          <x:t xml:space="preserve"/>
        </x:is>
      </x:c>
      <x:c r="N38" s="9" t="inlineStr">
        <x:is>
          <x:t xml:space="preserve">Not Run</x:t>
        </x:is>
      </x:c>
    </x:row>
    <x:row r="39" ht="36" customHeight="1">
      <x:c r="A39" s="9" t="inlineStr">
        <x:is>
          <x:t xml:space="preserve">PPV-009</x:t>
        </x:is>
      </x:c>
      <x:c r="B39" s="10" t="inlineStr">
        <x:is>
          <x:t xml:space="preserve">P0</x:t>
        </x:is>
      </x:c>
      <x:c r="C39" s="9" t="inlineStr">
        <x:is>
          <x:t xml:space="preserve">Plan Preview</x:t>
        </x:is>
      </x:c>
      <x:c r="D39" s="11" t="inlineStr">
        <x:is>
          <x:t xml:space="preserve">API</x:t>
        </x:is>
      </x:c>
      <x:c r="E39" s="9" t="inlineStr">
        <x:is>
          <x:t xml:space="preserve">POST /api/v1/users/me/plan-previews</x:t>
        </x:is>
      </x:c>
      <x:c r="F39" s="9" t="inlineStr">
        <x:is>
          <x:t xml:space="preserve">allocatable 계산 확인</x:t>
        </x:is>
      </x:c>
      <x:c r="G39" s="9" t="inlineStr">
        <x:is>
          <x:t xml:space="preserve">N&gt;=F+D+Lref 데이터 준비</x:t>
        </x:is>
      </x:c>
      <x:c r="H39" s="9" t="inlineStr">
        <x:is>
          <x:t xml:space="preserve">일반 사용자 데이터</x:t>
        </x:is>
      </x:c>
      <x:c r="I39" s="9" t="inlineStr">
        <x:is>
          <x:t xml:space="preserve">1) 미리보기 생성</x:t>
        </x:is>
      </x:c>
      <x:c r="J39" s="9" t="inlineStr">
        <x:is>
          <x:t xml:space="preserve">budgetState=allocatable, R&gt;0, plan breakdown 정상 분배</x:t>
        </x:is>
      </x:c>
      <x:c r="K39" s="9" t="inlineStr">
        <x:is>
          <x:t xml:space="preserve"/>
        </x:is>
      </x:c>
      <x:c r="L39" s="9" t="inlineStr">
        <x:is>
          <x:t xml:space="preserve">Yes</x:t>
        </x:is>
      </x:c>
      <x:c r="M39" s="9" t="inlineStr">
        <x:is>
          <x:t xml:space="preserve"/>
        </x:is>
      </x:c>
      <x:c r="N39" s="9" t="inlineStr">
        <x:is>
          <x:t xml:space="preserve">Not Run</x:t>
        </x:is>
      </x:c>
    </x:row>
    <x:row r="40" ht="36" customHeight="1">
      <x:c r="A40" s="9" t="inlineStr">
        <x:is>
          <x:t xml:space="preserve">PPV-010</x:t>
        </x:is>
      </x:c>
      <x:c r="B40" s="12" t="inlineStr">
        <x:is>
          <x:t xml:space="preserve">P1</x:t>
        </x:is>
      </x:c>
      <x:c r="C40" s="9" t="inlineStr">
        <x:is>
          <x:t xml:space="preserve">Plan Preview</x:t>
        </x:is>
      </x:c>
      <x:c r="D40" s="11" t="inlineStr">
        <x:is>
          <x:t xml:space="preserve">API</x:t>
        </x:is>
      </x:c>
      <x:c r="E40" s="9" t="inlineStr">
        <x:is>
          <x:t xml:space="preserve">POST /api/v1/users/me/plan-previews</x:t>
        </x:is>
      </x:c>
      <x:c r="F40" s="9" t="inlineStr">
        <x:is>
          <x:t xml:space="preserve">선택 입력 null 시 assumption flags 반영</x:t>
        </x:is>
      </x:c>
      <x:c r="G40" s="9" t="inlineStr">
        <x:is>
          <x:t xml:space="preserve">profile/goal ready</x:t>
        </x:is>
      </x:c>
      <x:c r="H40" s="9" t="inlineStr">
        <x:is>
          <x:t xml:space="preserve">variableExpense=null, cashAssets=null, goalSavedAmount=null</x:t>
        </x:is>
      </x:c>
      <x:c r="I40" s="9" t="inlineStr">
        <x:is>
          <x:t xml:space="preserve">1) 미리보기 생성</x:t>
        </x:is>
      </x:c>
      <x:c r="J40" s="9" t="inlineStr">
        <x:is>
          <x:t xml:space="preserve">assumptions.* 기본값 플래그 true</x:t>
        </x:is>
      </x:c>
      <x:c r="K40" s="9" t="inlineStr">
        <x:is>
          <x:t xml:space="preserve"/>
        </x:is>
      </x:c>
      <x:c r="L40" s="9" t="inlineStr">
        <x:is>
          <x:t xml:space="preserve">Yes</x:t>
        </x:is>
      </x:c>
      <x:c r="M40" s="9" t="inlineStr">
        <x:is>
          <x:t xml:space="preserve"/>
        </x:is>
      </x:c>
      <x:c r="N40" s="9" t="inlineStr">
        <x:is>
          <x:t xml:space="preserve">Not Run</x:t>
        </x:is>
      </x:c>
    </x:row>
    <x:row r="41" ht="36" customHeight="1">
      <x:c r="A41" s="9" t="inlineStr">
        <x:is>
          <x:t xml:space="preserve">PPR-001</x:t>
        </x:is>
      </x:c>
      <x:c r="B41" s="10" t="inlineStr">
        <x:is>
          <x:t xml:space="preserve">P0</x:t>
        </x:is>
      </x:c>
      <x:c r="C41" s="9" t="inlineStr">
        <x:is>
          <x:t xml:space="preserve">Plan Preview</x:t>
        </x:is>
      </x:c>
      <x:c r="D41" s="11" t="inlineStr">
        <x:is>
          <x:t xml:space="preserve">API</x:t>
        </x:is>
      </x:c>
      <x:c r="E41" s="9" t="inlineStr">
        <x:is>
          <x:t xml:space="preserve">POST /api/v1/users/me/plan-previews/recalculate</x:t>
        </x:is>
      </x:c>
      <x:c r="F41" s="9" t="inlineStr">
        <x:is>
          <x:t xml:space="preserve">수정 override로 재계산 성공</x:t>
        </x:is>
      </x:c>
      <x:c r="G41" s="9" t="inlineStr">
        <x:is>
          <x:t xml:space="preserve">issued preview 또는 active plan 존재</x:t>
        </x:is>
      </x:c>
      <x:c r="H41" s="9" t="inlineStr">
        <x:is>
          <x:t xml:space="preserve">overrides.livingBudget=500000</x:t>
        </x:is>
      </x:c>
      <x:c r="I41" s="9" t="inlineStr">
        <x:is>
          <x:t xml:space="preserve">1) 재계산 호출</x:t>
        </x:is>
      </x:c>
      <x:c r="J41" s="9" t="inlineStr">
        <x:is>
          <x:t xml:space="preserve">200, 새 previewToken/draftHash 반환</x:t>
        </x:is>
      </x:c>
      <x:c r="K41" s="9" t="inlineStr">
        <x:is>
          <x:t xml:space="preserve"/>
        </x:is>
      </x:c>
      <x:c r="L41" s="9" t="inlineStr">
        <x:is>
          <x:t xml:space="preserve">Yes</x:t>
        </x:is>
      </x:c>
      <x:c r="M41" s="9" t="inlineStr">
        <x:is>
          <x:t xml:space="preserve"/>
        </x:is>
      </x:c>
      <x:c r="N41" s="9" t="inlineStr">
        <x:is>
          <x:t xml:space="preserve">Not Run</x:t>
        </x:is>
      </x:c>
    </x:row>
    <x:row r="42" ht="36" customHeight="1">
      <x:c r="A42" s="9" t="inlineStr">
        <x:is>
          <x:t xml:space="preserve">PPR-002</x:t>
        </x:is>
      </x:c>
      <x:c r="B42" s="10" t="inlineStr">
        <x:is>
          <x:t xml:space="preserve">P0</x:t>
        </x:is>
      </x:c>
      <x:c r="C42" s="9" t="inlineStr">
        <x:is>
          <x:t xml:space="preserve">Plan Preview</x:t>
        </x:is>
      </x:c>
      <x:c r="D42" s="11" t="inlineStr">
        <x:is>
          <x:t xml:space="preserve">API</x:t>
        </x:is>
      </x:c>
      <x:c r="E42" s="9" t="inlineStr">
        <x:is>
          <x:t xml:space="preserve">POST /api/v1/users/me/plan-previews/recalculate</x:t>
        </x:is>
      </x:c>
      <x:c r="F42" s="9" t="inlineStr">
        <x:is>
          <x:t xml:space="preserve">stale basePlanVersion 충돌</x:t>
        </x:is>
      </x:c>
      <x:c r="G42" s="9" t="inlineStr">
        <x:is>
          <x:t xml:space="preserve">active version=2</x:t>
        </x:is>
      </x:c>
      <x:c r="H42" s="9" t="inlineStr">
        <x:is>
          <x:t xml:space="preserve">basePlanVersion=1</x:t>
        </x:is>
      </x:c>
      <x:c r="I42" s="9" t="inlineStr">
        <x:is>
          <x:t xml:space="preserve">1) 재계산 호출</x:t>
        </x:is>
      </x:c>
      <x:c r="J42" s="9" t="inlineStr">
        <x:is>
          <x:t xml:space="preserve">409 ACTIVE_PLAN_CONFLICT</x:t>
        </x:is>
      </x:c>
      <x:c r="K42" s="9" t="inlineStr">
        <x:is>
          <x:t xml:space="preserve">ACTIVE_PLAN_CONFLICT</x:t>
        </x:is>
      </x:c>
      <x:c r="L42" s="9" t="inlineStr">
        <x:is>
          <x:t xml:space="preserve">Yes</x:t>
        </x:is>
      </x:c>
      <x:c r="M42" s="9" t="inlineStr">
        <x:is>
          <x:t xml:space="preserve"/>
        </x:is>
      </x:c>
      <x:c r="N42" s="9" t="inlineStr">
        <x:is>
          <x:t xml:space="preserve">Not Run</x:t>
        </x:is>
      </x:c>
    </x:row>
    <x:row r="43" ht="36" customHeight="1">
      <x:c r="A43" s="9" t="inlineStr">
        <x:is>
          <x:t xml:space="preserve">PPR-003</x:t>
        </x:is>
      </x:c>
      <x:c r="B43" s="12" t="inlineStr">
        <x:is>
          <x:t xml:space="preserve">P1</x:t>
        </x:is>
      </x:c>
      <x:c r="C43" s="9" t="inlineStr">
        <x:is>
          <x:t xml:space="preserve">Plan Preview</x:t>
        </x:is>
      </x:c>
      <x:c r="D43" s="11" t="inlineStr">
        <x:is>
          <x:t xml:space="preserve">API</x:t>
        </x:is>
      </x:c>
      <x:c r="E43" s="9" t="inlineStr">
        <x:is>
          <x:t xml:space="preserve">POST /api/v1/users/me/plan-previews/recalculate</x:t>
        </x:is>
      </x:c>
      <x:c r="F43" s="9" t="inlineStr">
        <x:is>
          <x:t xml:space="preserve">허용되지 않은 override 필드 거부</x:t>
        </x:is>
      </x:c>
      <x:c r="G43" s="9" t="inlineStr">
        <x:is>
          <x:t xml:space="preserve">issued preview 또는 active plan 존재</x:t>
        </x:is>
      </x:c>
      <x:c r="H43" s="9" t="inlineStr">
        <x:is>
          <x:t xml:space="preserve">overrides.unknownField=1</x:t>
        </x:is>
      </x:c>
      <x:c r="I43" s="9" t="inlineStr">
        <x:is>
          <x:t xml:space="preserve">1) 재계산 호출</x:t>
        </x:is>
      </x:c>
      <x:c r="J43" s="9" t="inlineStr">
        <x:is>
          <x:t xml:space="preserve">422</x:t>
        </x:is>
      </x:c>
      <x:c r="K43" s="9" t="inlineStr">
        <x:is>
          <x:t xml:space="preserve">VALIDATION_ERROR</x:t>
        </x:is>
      </x:c>
      <x:c r="L43" s="9" t="inlineStr">
        <x:is>
          <x:t xml:space="preserve">Yes</x:t>
        </x:is>
      </x:c>
      <x:c r="M43" s="9" t="inlineStr">
        <x:is>
          <x:t xml:space="preserve">additionalProperties=false</x:t>
        </x:is>
      </x:c>
      <x:c r="N43" s="9" t="inlineStr">
        <x:is>
          <x:t xml:space="preserve">Not Run</x:t>
        </x:is>
      </x:c>
    </x:row>
    <x:row r="44" ht="36" customHeight="1">
      <x:c r="A44" s="9" t="inlineStr">
        <x:is>
          <x:t xml:space="preserve">PPR-004</x:t>
        </x:is>
      </x:c>
      <x:c r="B44" s="12" t="inlineStr">
        <x:is>
          <x:t xml:space="preserve">P1</x:t>
        </x:is>
      </x:c>
      <x:c r="C44" s="9" t="inlineStr">
        <x:is>
          <x:t xml:space="preserve">Plan Preview</x:t>
        </x:is>
      </x:c>
      <x:c r="D44" s="11" t="inlineStr">
        <x:is>
          <x:t xml:space="preserve">API</x:t>
        </x:is>
      </x:c>
      <x:c r="E44" s="9" t="inlineStr">
        <x:is>
          <x:t xml:space="preserve">POST /api/v1/users/me/plan-previews/recalculate</x:t>
        </x:is>
      </x:c>
      <x:c r="F44" s="9" t="inlineStr">
        <x:is>
          <x:t xml:space="preserve">잘못된 yearMonth 형식 거부</x:t>
        </x:is>
      </x:c>
      <x:c r="G44" s="9" t="inlineStr">
        <x:is>
          <x:t xml:space="preserve">active plan 존재</x:t>
        </x:is>
      </x:c>
      <x:c r="H44" s="9" t="inlineStr">
        <x:is>
          <x:t xml:space="preserve">yearMonth=2026/03</x:t>
        </x:is>
      </x:c>
      <x:c r="I44" s="9" t="inlineStr">
        <x:is>
          <x:t xml:space="preserve">1) 재계산 호출</x:t>
        </x:is>
      </x:c>
      <x:c r="J44" s="9" t="inlineStr">
        <x:is>
          <x:t xml:space="preserve">422</x:t>
        </x:is>
      </x:c>
      <x:c r="K44" s="9" t="inlineStr">
        <x:is>
          <x:t xml:space="preserve">VALIDATION_ERROR</x:t>
        </x:is>
      </x:c>
      <x:c r="L44" s="9" t="inlineStr">
        <x:is>
          <x:t xml:space="preserve">Yes</x:t>
        </x:is>
      </x:c>
      <x:c r="M44" s="9" t="inlineStr">
        <x:is>
          <x:t xml:space="preserve"/>
        </x:is>
      </x:c>
      <x:c r="N44" s="9" t="inlineStr">
        <x:is>
          <x:t xml:space="preserve">Not Run</x:t>
        </x:is>
      </x:c>
    </x:row>
    <x:row r="45" ht="36" customHeight="1">
      <x:c r="A45" s="9" t="inlineStr">
        <x:is>
          <x:t xml:space="preserve">PPR-005</x:t>
        </x:is>
      </x:c>
      <x:c r="B45" s="12" t="inlineStr">
        <x:is>
          <x:t xml:space="preserve">P1</x:t>
        </x:is>
      </x:c>
      <x:c r="C45" s="9" t="inlineStr">
        <x:is>
          <x:t xml:space="preserve">Plan Preview</x:t>
        </x:is>
      </x:c>
      <x:c r="D45" s="11" t="inlineStr">
        <x:is>
          <x:t xml:space="preserve">API</x:t>
        </x:is>
      </x:c>
      <x:c r="E45" s="9" t="inlineStr">
        <x:is>
          <x:t xml:space="preserve">POST /api/v1/users/me/plan-previews/recalculate</x:t>
        </x:is>
      </x:c>
      <x:c r="F45" s="9" t="inlineStr">
        <x:is>
          <x:t xml:space="preserve">재계산 후 이전 issued preview invalidated</x:t>
        </x:is>
      </x:c>
      <x:c r="G45" s="9" t="inlineStr">
        <x:is>
          <x:t xml:space="preserve">issued preview 존재</x:t>
        </x:is>
      </x:c>
      <x:c r="H45" s="9" t="inlineStr">
        <x:is>
          <x:t xml:space="preserve">같은 월 2회 재계산</x:t>
        </x:is>
      </x:c>
      <x:c r="I45" s="9" t="inlineStr">
        <x:is>
          <x:t xml:space="preserve">1) 재계산 1회 2) 재계산 2회 3) 1회차 token accept</x:t>
        </x:is>
      </x:c>
      <x:c r="J45" s="9" t="inlineStr">
        <x:is>
          <x:t xml:space="preserve">409 PREVIEW_TOKEN_INVALIDATED</x:t>
        </x:is>
      </x:c>
      <x:c r="K45" s="9" t="inlineStr">
        <x:is>
          <x:t xml:space="preserve">PREVIEW_TOKEN_INVALIDATED</x:t>
        </x:is>
      </x:c>
      <x:c r="L45" s="9" t="inlineStr">
        <x:is>
          <x:t xml:space="preserve">Yes</x:t>
        </x:is>
      </x:c>
      <x:c r="M45" s="9" t="inlineStr">
        <x:is>
          <x:t xml:space="preserve"/>
        </x:is>
      </x:c>
      <x:c r="N45" s="9" t="inlineStr">
        <x:is>
          <x:t xml:space="preserve">Not Run</x:t>
        </x:is>
      </x:c>
    </x:row>
    <x:row r="46" ht="36" customHeight="1">
      <x:c r="A46" s="9" t="inlineStr">
        <x:is>
          <x:t xml:space="preserve">PAC-001</x:t>
        </x:is>
      </x:c>
      <x:c r="B46" s="10" t="inlineStr">
        <x:is>
          <x:t xml:space="preserve">P0</x:t>
        </x:is>
      </x:c>
      <x:c r="C46" s="9" t="inlineStr">
        <x:is>
          <x:t xml:space="preserve">Plan Accept</x:t>
        </x:is>
      </x:c>
      <x:c r="D46" s="11" t="inlineStr">
        <x:is>
          <x:t xml:space="preserve">API</x:t>
        </x:is>
      </x:c>
      <x:c r="E46" s="9" t="inlineStr">
        <x:is>
          <x:t xml:space="preserve">POST /api/v1/users/me/plan-previews/{previewToken}/accept</x:t>
        </x:is>
      </x:c>
      <x:c r="F46" s="9" t="inlineStr">
        <x:is>
          <x:t xml:space="preserve">미리보기 수락 성공</x:t>
        </x:is>
      </x:c>
      <x:c r="G46" s="9" t="inlineStr">
        <x:is>
          <x:t xml:space="preserve">issued preview 존재</x:t>
        </x:is>
      </x:c>
      <x:c r="H46" s="9" t="inlineStr">
        <x:is>
          <x:t xml:space="preserve">previewToken, Idempotency-Key(UUID)</x:t>
        </x:is>
      </x:c>
      <x:c r="I46" s="9" t="inlineStr">
        <x:is>
          <x:t xml:space="preserve">1) accept 호출</x:t>
        </x:is>
      </x:c>
      <x:c r="J46" s="9" t="inlineStr">
        <x:is>
          <x:t xml:space="preserve">201, active plan 생성, version=1</x:t>
        </x:is>
      </x:c>
      <x:c r="K46" s="9" t="inlineStr">
        <x:is>
          <x:t xml:space="preserve"/>
        </x:is>
      </x:c>
      <x:c r="L46" s="9" t="inlineStr">
        <x:is>
          <x:t xml:space="preserve">Yes</x:t>
        </x:is>
      </x:c>
      <x:c r="M46" s="9" t="inlineStr">
        <x:is>
          <x:t xml:space="preserve"/>
        </x:is>
      </x:c>
      <x:c r="N46" s="9" t="inlineStr">
        <x:is>
          <x:t xml:space="preserve">Not Run</x:t>
        </x:is>
      </x:c>
    </x:row>
    <x:row r="47" ht="36" customHeight="1">
      <x:c r="A47" s="9" t="inlineStr">
        <x:is>
          <x:t xml:space="preserve">PAC-002</x:t>
        </x:is>
      </x:c>
      <x:c r="B47" s="10" t="inlineStr">
        <x:is>
          <x:t xml:space="preserve">P0</x:t>
        </x:is>
      </x:c>
      <x:c r="C47" s="9" t="inlineStr">
        <x:is>
          <x:t xml:space="preserve">Plan Accept</x:t>
        </x:is>
      </x:c>
      <x:c r="D47" s="11" t="inlineStr">
        <x:is>
          <x:t xml:space="preserve">API</x:t>
        </x:is>
      </x:c>
      <x:c r="E47" s="9" t="inlineStr">
        <x:is>
          <x:t xml:space="preserve">POST /api/v1/users/me/plan-previews/{previewToken}/accept</x:t>
        </x:is>
      </x:c>
      <x:c r="F47" s="9" t="inlineStr">
        <x:is>
          <x:t xml:space="preserve">만료된 preview token 수락 차단</x:t>
        </x:is>
      </x:c>
      <x:c r="G47" s="9" t="inlineStr">
        <x:is>
          <x:t xml:space="preserve">expired preview 존재</x:t>
        </x:is>
      </x:c>
      <x:c r="H47" s="9" t="inlineStr">
        <x:is>
          <x:t xml:space="preserve">만료 token</x:t>
        </x:is>
      </x:c>
      <x:c r="I47" s="9" t="inlineStr">
        <x:is>
          <x:t xml:space="preserve">1) accept 호출</x:t>
        </x:is>
      </x:c>
      <x:c r="J47" s="9" t="inlineStr">
        <x:is>
          <x:t xml:space="preserve">409 PREVIEW_TOKEN_EXPIRED</x:t>
        </x:is>
      </x:c>
      <x:c r="K47" s="9" t="inlineStr">
        <x:is>
          <x:t xml:space="preserve">PREVIEW_TOKEN_EXPIRED</x:t>
        </x:is>
      </x:c>
      <x:c r="L47" s="9" t="inlineStr">
        <x:is>
          <x:t xml:space="preserve">Yes</x:t>
        </x:is>
      </x:c>
      <x:c r="M47" s="9" t="inlineStr">
        <x:is>
          <x:t xml:space="preserve"/>
        </x:is>
      </x:c>
      <x:c r="N47" s="9" t="inlineStr">
        <x:is>
          <x:t xml:space="preserve">Not Run</x:t>
        </x:is>
      </x:c>
    </x:row>
    <x:row r="48" ht="36" customHeight="1">
      <x:c r="A48" s="9" t="inlineStr">
        <x:is>
          <x:t xml:space="preserve">PAC-003</x:t>
        </x:is>
      </x:c>
      <x:c r="B48" s="10" t="inlineStr">
        <x:is>
          <x:t xml:space="preserve">P0</x:t>
        </x:is>
      </x:c>
      <x:c r="C48" s="9" t="inlineStr">
        <x:is>
          <x:t xml:space="preserve">Plan Accept</x:t>
        </x:is>
      </x:c>
      <x:c r="D48" s="11" t="inlineStr">
        <x:is>
          <x:t xml:space="preserve">API</x:t>
        </x:is>
      </x:c>
      <x:c r="E48" s="9" t="inlineStr">
        <x:is>
          <x:t xml:space="preserve">POST /api/v1/users/me/plan-previews/{previewToken}/accept</x:t>
        </x:is>
      </x:c>
      <x:c r="F48" s="9" t="inlineStr">
        <x:is>
          <x:t xml:space="preserve">invalidated preview token 수락 차단</x:t>
        </x:is>
      </x:c>
      <x:c r="G48" s="9" t="inlineStr">
        <x:is>
          <x:t xml:space="preserve">새 preview 발급으로 이전 token invalidated</x:t>
        </x:is>
      </x:c>
      <x:c r="H48" s="9" t="inlineStr">
        <x:is>
          <x:t xml:space="preserve">이전 token</x:t>
        </x:is>
      </x:c>
      <x:c r="I48" s="9" t="inlineStr">
        <x:is>
          <x:t xml:space="preserve">1) accept 호출</x:t>
        </x:is>
      </x:c>
      <x:c r="J48" s="9" t="inlineStr">
        <x:is>
          <x:t xml:space="preserve">409 PREVIEW_TOKEN_INVALIDATED</x:t>
        </x:is>
      </x:c>
      <x:c r="K48" s="9" t="inlineStr">
        <x:is>
          <x:t xml:space="preserve">PREVIEW_TOKEN_INVALIDATED</x:t>
        </x:is>
      </x:c>
      <x:c r="L48" s="9" t="inlineStr">
        <x:is>
          <x:t xml:space="preserve">Yes</x:t>
        </x:is>
      </x:c>
      <x:c r="M48" s="9" t="inlineStr">
        <x:is>
          <x:t xml:space="preserve"/>
        </x:is>
      </x:c>
      <x:c r="N48" s="9" t="inlineStr">
        <x:is>
          <x:t xml:space="preserve">Not Run</x:t>
        </x:is>
      </x:c>
    </x:row>
    <x:row r="49" ht="36" customHeight="1">
      <x:c r="A49" s="9" t="inlineStr">
        <x:is>
          <x:t xml:space="preserve">PAC-004</x:t>
        </x:is>
      </x:c>
      <x:c r="B49" s="10" t="inlineStr">
        <x:is>
          <x:t xml:space="preserve">P0</x:t>
        </x:is>
      </x:c>
      <x:c r="C49" s="9" t="inlineStr">
        <x:is>
          <x:t xml:space="preserve">Plan Accept</x:t>
        </x:is>
      </x:c>
      <x:c r="D49" s="11" t="inlineStr">
        <x:is>
          <x:t xml:space="preserve">API</x:t>
        </x:is>
      </x:c>
      <x:c r="E49" s="9" t="inlineStr">
        <x:is>
          <x:t xml:space="preserve">POST /api/v1/users/me/plan-previews/{previewToken}/accept</x:t>
        </x:is>
      </x:c>
      <x:c r="F49" s="9" t="inlineStr">
        <x:is>
          <x:t xml:space="preserve">이미 소비된 preview token 재수락 차단</x:t>
        </x:is>
      </x:c>
      <x:c r="G49" s="9" t="inlineStr">
        <x:is>
          <x:t xml:space="preserve">같은 token 한 번 수락 완료</x:t>
        </x:is>
      </x:c>
      <x:c r="H49" s="9" t="inlineStr">
        <x:is>
          <x:t xml:space="preserve">새 Idempotency-Key</x:t>
        </x:is>
      </x:c>
      <x:c r="I49" s="9" t="inlineStr">
        <x:is>
          <x:t xml:space="preserve">1) accept 재호출</x:t>
        </x:is>
      </x:c>
      <x:c r="J49" s="9" t="inlineStr">
        <x:is>
          <x:t xml:space="preserve">409 PREVIEW_TOKEN_ALREADY_CONSUMED</x:t>
        </x:is>
      </x:c>
      <x:c r="K49" s="9" t="inlineStr">
        <x:is>
          <x:t xml:space="preserve">PREVIEW_TOKEN_ALREADY_CONSUMED</x:t>
        </x:is>
      </x:c>
      <x:c r="L49" s="9" t="inlineStr">
        <x:is>
          <x:t xml:space="preserve">Yes</x:t>
        </x:is>
      </x:c>
      <x:c r="M49" s="9" t="inlineStr">
        <x:is>
          <x:t xml:space="preserve"/>
        </x:is>
      </x:c>
      <x:c r="N49" s="9" t="inlineStr">
        <x:is>
          <x:t xml:space="preserve">Not Run</x:t>
        </x:is>
      </x:c>
    </x:row>
    <x:row r="50" ht="36" customHeight="1">
      <x:c r="A50" s="9" t="inlineStr">
        <x:is>
          <x:t xml:space="preserve">PAC-005</x:t>
        </x:is>
      </x:c>
      <x:c r="B50" s="10" t="inlineStr">
        <x:is>
          <x:t xml:space="preserve">P0</x:t>
        </x:is>
      </x:c>
      <x:c r="C50" s="9" t="inlineStr">
        <x:is>
          <x:t xml:space="preserve">Plan Accept</x:t>
        </x:is>
      </x:c>
      <x:c r="D50" s="11" t="inlineStr">
        <x:is>
          <x:t xml:space="preserve">API</x:t>
        </x:is>
      </x:c>
      <x:c r="E50" s="9" t="inlineStr">
        <x:is>
          <x:t xml:space="preserve">POST /api/v1/users/me/plan-previews/{previewToken}/accept</x:t>
        </x:is>
      </x:c>
      <x:c r="F50" s="9" t="inlineStr">
        <x:is>
          <x:t xml:space="preserve">동일 Idempotency-Key + 동일 요청 재시도</x:t>
        </x:is>
      </x:c>
      <x:c r="G50" s="9" t="inlineStr">
        <x:is>
          <x:t xml:space="preserve">issued preview 존재</x:t>
        </x:is>
      </x:c>
      <x:c r="H50" s="9" t="inlineStr">
        <x:is>
          <x:t xml:space="preserve">동일 previewToken, 동일 Idempotency-Key</x:t>
        </x:is>
      </x:c>
      <x:c r="I50" s="9" t="inlineStr">
        <x:is>
          <x:t xml:space="preserve">1) 첫 호출 2) 동일 요청 재시도</x:t>
        </x:is>
      </x:c>
      <x:c r="J50" s="9" t="inlineStr">
        <x:is>
          <x:t xml:space="preserve">최초 성공과 동일한 201/body 재반환, Idempotent-Replayed 헤더 가능</x:t>
        </x:is>
      </x:c>
      <x:c r="K50" s="9" t="inlineStr">
        <x:is>
          <x:t xml:space="preserve"/>
        </x:is>
      </x:c>
      <x:c r="L50" s="9" t="inlineStr">
        <x:is>
          <x:t xml:space="preserve">Yes</x:t>
        </x:is>
      </x:c>
      <x:c r="M50" s="9" t="inlineStr">
        <x:is>
          <x:t xml:space="preserve">네트워크 재시도</x:t>
        </x:is>
      </x:c>
      <x:c r="N50" s="9" t="inlineStr">
        <x:is>
          <x:t xml:space="preserve">Not Run</x:t>
        </x:is>
      </x:c>
    </x:row>
    <x:row r="51" ht="36" customHeight="1">
      <x:c r="A51" s="9" t="inlineStr">
        <x:is>
          <x:t xml:space="preserve">PAC-006</x:t>
        </x:is>
      </x:c>
      <x:c r="B51" s="10" t="inlineStr">
        <x:is>
          <x:t xml:space="preserve">P0</x:t>
        </x:is>
      </x:c>
      <x:c r="C51" s="9" t="inlineStr">
        <x:is>
          <x:t xml:space="preserve">Plan Accept</x:t>
        </x:is>
      </x:c>
      <x:c r="D51" s="11" t="inlineStr">
        <x:is>
          <x:t xml:space="preserve">API</x:t>
        </x:is>
      </x:c>
      <x:c r="E51" s="9" t="inlineStr">
        <x:is>
          <x:t xml:space="preserve">POST /api/v1/users/me/plan-previews/{previewToken}/accept</x:t>
        </x:is>
      </x:c>
      <x:c r="F51" s="9" t="inlineStr">
        <x:is>
          <x:t xml:space="preserve">동일 Idempotency-Key + 다른 요청 거부</x:t>
        </x:is>
      </x:c>
      <x:c r="G51" s="9" t="inlineStr">
        <x:is>
          <x:t xml:space="preserve">같은 사용자, 이전 key 사용 이력 존재</x:t>
        </x:is>
      </x:c>
      <x:c r="H51" s="9" t="inlineStr">
        <x:is>
          <x:t xml:space="preserve">같은 key로 다른 previewToken 호출</x:t>
        </x:is>
      </x:c>
      <x:c r="I51" s="9" t="inlineStr">
        <x:is>
          <x:t xml:space="preserve">1) accept 호출</x:t>
        </x:is>
      </x:c>
      <x:c r="J51" s="9" t="inlineStr">
        <x:is>
          <x:t xml:space="preserve">409 IDEMPOTENCY_KEY_REUSED</x:t>
        </x:is>
      </x:c>
      <x:c r="K51" s="9" t="inlineStr">
        <x:is>
          <x:t xml:space="preserve">IDEMPOTENCY_KEY_REUSED</x:t>
        </x:is>
      </x:c>
      <x:c r="L51" s="9" t="inlineStr">
        <x:is>
          <x:t xml:space="preserve">Yes</x:t>
        </x:is>
      </x:c>
      <x:c r="M51" s="9" t="inlineStr">
        <x:is>
          <x:t xml:space="preserve"/>
        </x:is>
      </x:c>
      <x:c r="N51" s="9" t="inlineStr">
        <x:is>
          <x:t xml:space="preserve">Not Run</x:t>
        </x:is>
      </x:c>
    </x:row>
    <x:row r="52" ht="36" customHeight="1">
      <x:c r="A52" s="9" t="inlineStr">
        <x:is>
          <x:t xml:space="preserve">PLAN-001</x:t>
        </x:is>
      </x:c>
      <x:c r="B52" s="10" t="inlineStr">
        <x:is>
          <x:t xml:space="preserve">P0</x:t>
        </x:is>
      </x:c>
      <x:c r="C52" s="9" t="inlineStr">
        <x:is>
          <x:t xml:space="preserve">Home/Plan</x:t>
        </x:is>
      </x:c>
      <x:c r="D52" s="11" t="inlineStr">
        <x:is>
          <x:t xml:space="preserve">API</x:t>
        </x:is>
      </x:c>
      <x:c r="E52" s="9" t="inlineStr">
        <x:is>
          <x:t xml:space="preserve">GET /api/v1/users/me/monthly-plans/{yearMonth}/active</x:t>
        </x:is>
      </x:c>
      <x:c r="F52" s="9" t="inlineStr">
        <x:is>
          <x:t xml:space="preserve">active plan 조회 성공</x:t>
        </x:is>
      </x:c>
      <x:c r="G52" s="9" t="inlineStr">
        <x:is>
          <x:t xml:space="preserve">active plan 존재</x:t>
        </x:is>
      </x:c>
      <x:c r="H52" s="9" t="inlineStr">
        <x:is>
          <x:t xml:space="preserve">yearMonth=현재월</x:t>
        </x:is>
      </x:c>
      <x:c r="I52" s="9" t="inlineStr">
        <x:is>
          <x:t xml:space="preserve">1) active 조회</x:t>
        </x:is>
      </x:c>
      <x:c r="J52" s="9" t="inlineStr">
        <x:is>
          <x:t xml:space="preserve">200, plan/goalProjection/emergencyFundStatus/currentAction/spendSummary/editableWeeks/assumptions/calculationBasis 포함</x:t>
        </x:is>
      </x:c>
      <x:c r="K52" s="9" t="inlineStr">
        <x:is>
          <x:t xml:space="preserve"/>
        </x:is>
      </x:c>
      <x:c r="L52" s="9" t="inlineStr">
        <x:is>
          <x:t xml:space="preserve">Yes</x:t>
        </x:is>
      </x:c>
      <x:c r="M52" s="9" t="inlineStr">
        <x:is>
          <x:t xml:space="preserve">홈 화면 단일 API</x:t>
        </x:is>
      </x:c>
      <x:c r="N52" s="9" t="inlineStr">
        <x:is>
          <x:t xml:space="preserve">Not Run</x:t>
        </x:is>
      </x:c>
    </x:row>
    <x:row r="53" ht="36" customHeight="1">
      <x:c r="A53" s="9" t="inlineStr">
        <x:is>
          <x:t xml:space="preserve">PLAN-002</x:t>
        </x:is>
      </x:c>
      <x:c r="B53" s="10" t="inlineStr">
        <x:is>
          <x:t xml:space="preserve">P0</x:t>
        </x:is>
      </x:c>
      <x:c r="C53" s="9" t="inlineStr">
        <x:is>
          <x:t xml:space="preserve">Home/Plan</x:t>
        </x:is>
      </x:c>
      <x:c r="D53" s="11" t="inlineStr">
        <x:is>
          <x:t xml:space="preserve">API</x:t>
        </x:is>
      </x:c>
      <x:c r="E53" s="9" t="inlineStr">
        <x:is>
          <x:t xml:space="preserve">GET /api/v1/users/me/monthly-plans/{yearMonth}/active</x:t>
        </x:is>
      </x:c>
      <x:c r="F53" s="9" t="inlineStr">
        <x:is>
          <x:t xml:space="preserve">active plan 미존재 시 404</x:t>
        </x:is>
      </x:c>
      <x:c r="G53" s="9" t="inlineStr">
        <x:is>
          <x:t xml:space="preserve">해당 월 active 없음</x:t>
        </x:is>
      </x:c>
      <x:c r="H53" s="9" t="inlineStr">
        <x:is>
          <x:t xml:space="preserve">yearMonth=현재월</x:t>
        </x:is>
      </x:c>
      <x:c r="I53" s="9" t="inlineStr">
        <x:is>
          <x:t xml:space="preserve">1) active 조회</x:t>
        </x:is>
      </x:c>
      <x:c r="J53" s="9" t="inlineStr">
        <x:is>
          <x:t xml:space="preserve">404 ACTIVE_PLAN_NOT_FOUND</x:t>
        </x:is>
      </x:c>
      <x:c r="K53" s="9" t="inlineStr">
        <x:is>
          <x:t xml:space="preserve">ACTIVE_PLAN_NOT_FOUND</x:t>
        </x:is>
      </x:c>
      <x:c r="L53" s="9" t="inlineStr">
        <x:is>
          <x:t xml:space="preserve">Yes</x:t>
        </x:is>
      </x:c>
      <x:c r="M53" s="9" t="inlineStr">
        <x:is>
          <x:t xml:space="preserve"/>
        </x:is>
      </x:c>
      <x:c r="N53" s="9" t="inlineStr">
        <x:is>
          <x:t xml:space="preserve">Not Run</x:t>
        </x:is>
      </x:c>
    </x:row>
    <x:row r="54" ht="36" customHeight="1">
      <x:c r="A54" s="9" t="inlineStr">
        <x:is>
          <x:t xml:space="preserve">PLAN-003</x:t>
        </x:is>
      </x:c>
      <x:c r="B54" s="10" t="inlineStr">
        <x:is>
          <x:t xml:space="preserve">P0</x:t>
        </x:is>
      </x:c>
      <x:c r="C54" s="9" t="inlineStr">
        <x:is>
          <x:t xml:space="preserve">Home/Plan</x:t>
        </x:is>
      </x:c>
      <x:c r="D54" s="11" t="inlineStr">
        <x:is>
          <x:t xml:space="preserve">API</x:t>
        </x:is>
      </x:c>
      <x:c r="E54" s="9" t="inlineStr">
        <x:is>
          <x:t xml:space="preserve">GET /api/v1/users/me/monthly-plans/{yearMonth}/active</x:t>
        </x:is>
      </x:c>
      <x:c r="F54" s="9" t="inlineStr">
        <x:is>
          <x:t xml:space="preserve">home 응답 currentAction non-null 보장</x:t>
        </x:is>
      </x:c>
      <x:c r="G54" s="9" t="inlineStr">
        <x:is>
          <x:t xml:space="preserve">active plan 존재</x:t>
        </x:is>
      </x:c>
      <x:c r="H54" s="9" t="inlineStr">
        <x:is>
          <x:t xml:space="preserve">일반 데이터</x:t>
        </x:is>
      </x:c>
      <x:c r="I54" s="9" t="inlineStr">
        <x:is>
          <x:t xml:space="preserve">1) active 조회</x:t>
        </x:is>
      </x:c>
      <x:c r="J54" s="9" t="inlineStr">
        <x:is>
          <x:t xml:space="preserve">currentAction=null 아님</x:t>
        </x:is>
      </x:c>
      <x:c r="K54" s="9" t="inlineStr">
        <x:is>
          <x:t xml:space="preserve"/>
        </x:is>
      </x:c>
      <x:c r="L54" s="9" t="inlineStr">
        <x:is>
          <x:t xml:space="preserve">Yes</x:t>
        </x:is>
      </x:c>
      <x:c r="M54" s="9" t="inlineStr">
        <x:is>
          <x:t xml:space="preserve">fallback weekly_checkin 허용</x:t>
        </x:is>
      </x:c>
      <x:c r="N54" s="9" t="inlineStr">
        <x:is>
          <x:t xml:space="preserve">Not Run</x:t>
        </x:is>
      </x:c>
    </x:row>
    <x:row r="55" ht="36" customHeight="1">
      <x:c r="A55" s="9" t="inlineStr">
        <x:is>
          <x:t xml:space="preserve">PRV-001</x:t>
        </x:is>
      </x:c>
      <x:c r="B55" s="10" t="inlineStr">
        <x:is>
          <x:t xml:space="preserve">P0</x:t>
        </x:is>
      </x:c>
      <x:c r="C55" s="9" t="inlineStr">
        <x:is>
          <x:t xml:space="preserve">Plan Revision</x:t>
        </x:is>
      </x:c>
      <x:c r="D55" s="11" t="inlineStr">
        <x:is>
          <x:t xml:space="preserve">API</x:t>
        </x:is>
      </x:c>
      <x:c r="E55" s="9" t="inlineStr">
        <x:is>
          <x:t xml:space="preserve">POST /api/v1/users/me/monthly-plans/{yearMonth}/revisions</x:t>
        </x:is>
      </x:c>
      <x:c r="F55" s="9" t="inlineStr">
        <x:is>
          <x:t xml:space="preserve">active plan 수정 저장 성공</x:t>
        </x:is>
      </x:c>
      <x:c r="G55" s="9" t="inlineStr">
        <x:is>
          <x:t xml:space="preserve">active plan 존재, issued preview(basePlanVersion 일치)</x:t>
        </x:is>
      </x:c>
      <x:c r="H55" s="9" t="inlineStr">
        <x:is>
          <x:t xml:space="preserve">previewToken, Idempotency-Key</x:t>
        </x:is>
      </x:c>
      <x:c r="I55" s="9" t="inlineStr">
        <x:is>
          <x:t xml:space="preserve">1) revision 호출</x:t>
        </x:is>
      </x:c>
      <x:c r="J55" s="9" t="inlineStr">
        <x:is>
          <x:t xml:space="preserve">201, 새 version 생성, 이전 active는 superseded</x:t>
        </x:is>
      </x:c>
      <x:c r="K55" s="9" t="inlineStr">
        <x:is>
          <x:t xml:space="preserve"/>
        </x:is>
      </x:c>
      <x:c r="L55" s="9" t="inlineStr">
        <x:is>
          <x:t xml:space="preserve">Yes</x:t>
        </x:is>
      </x:c>
      <x:c r="M55" s="9" t="inlineStr">
        <x:is>
          <x:t xml:space="preserve"/>
        </x:is>
      </x:c>
      <x:c r="N55" s="9" t="inlineStr">
        <x:is>
          <x:t xml:space="preserve">Not Run</x:t>
        </x:is>
      </x:c>
    </x:row>
    <x:row r="56" ht="36" customHeight="1">
      <x:c r="A56" s="9" t="inlineStr">
        <x:is>
          <x:t xml:space="preserve">PRV-002</x:t>
        </x:is>
      </x:c>
      <x:c r="B56" s="10" t="inlineStr">
        <x:is>
          <x:t xml:space="preserve">P0</x:t>
        </x:is>
      </x:c>
      <x:c r="C56" s="9" t="inlineStr">
        <x:is>
          <x:t xml:space="preserve">Plan Revision</x:t>
        </x:is>
      </x:c>
      <x:c r="D56" s="11" t="inlineStr">
        <x:is>
          <x:t xml:space="preserve">API</x:t>
        </x:is>
      </x:c>
      <x:c r="E56" s="9" t="inlineStr">
        <x:is>
          <x:t xml:space="preserve">POST /api/v1/users/me/monthly-plans/{yearMonth}/revisions</x:t>
        </x:is>
      </x:c>
      <x:c r="F56" s="9" t="inlineStr">
        <x:is>
          <x:t xml:space="preserve">stale basePlanVersion revision 충돌</x:t>
        </x:is>
      </x:c>
      <x:c r="G56" s="9" t="inlineStr">
        <x:is>
          <x:t xml:space="preserve">active version 변경됨</x:t>
        </x:is>
      </x:c>
      <x:c r="H56" s="9" t="inlineStr">
        <x:is>
          <x:t xml:space="preserve">오래된 previewToken</x:t>
        </x:is>
      </x:c>
      <x:c r="I56" s="9" t="inlineStr">
        <x:is>
          <x:t xml:space="preserve">1) revision 호출</x:t>
        </x:is>
      </x:c>
      <x:c r="J56" s="9" t="inlineStr">
        <x:is>
          <x:t xml:space="preserve">409 ACTIVE_PLAN_CONFLICT</x:t>
        </x:is>
      </x:c>
      <x:c r="K56" s="9" t="inlineStr">
        <x:is>
          <x:t xml:space="preserve">ACTIVE_PLAN_CONFLICT</x:t>
        </x:is>
      </x:c>
      <x:c r="L56" s="9" t="inlineStr">
        <x:is>
          <x:t xml:space="preserve">Yes</x:t>
        </x:is>
      </x:c>
      <x:c r="M56" s="9" t="inlineStr">
        <x:is>
          <x:t xml:space="preserve"/>
        </x:is>
      </x:c>
      <x:c r="N56" s="9" t="inlineStr">
        <x:is>
          <x:t xml:space="preserve">Not Run</x:t>
        </x:is>
      </x:c>
    </x:row>
    <x:row r="57" ht="36" customHeight="1">
      <x:c r="A57" s="9" t="inlineStr">
        <x:is>
          <x:t xml:space="preserve">PRV-003</x:t>
        </x:is>
      </x:c>
      <x:c r="B57" s="12" t="inlineStr">
        <x:is>
          <x:t xml:space="preserve">P1</x:t>
        </x:is>
      </x:c>
      <x:c r="C57" s="9" t="inlineStr">
        <x:is>
          <x:t xml:space="preserve">Plan Revision</x:t>
        </x:is>
      </x:c>
      <x:c r="D57" s="11" t="inlineStr">
        <x:is>
          <x:t xml:space="preserve">API</x:t>
        </x:is>
      </x:c>
      <x:c r="E57" s="9" t="inlineStr">
        <x:is>
          <x:t xml:space="preserve">POST /api/v1/users/me/monthly-plans/{yearMonth}/revisions</x:t>
        </x:is>
      </x:c>
      <x:c r="F57" s="9" t="inlineStr">
        <x:is>
          <x:t xml:space="preserve">active plan 없는 월 revision 차단</x:t>
        </x:is>
      </x:c>
      <x:c r="G57" s="9" t="inlineStr">
        <x:is>
          <x:t xml:space="preserve">해당 월 active plan 없음</x:t>
        </x:is>
      </x:c>
      <x:c r="H57" s="9" t="inlineStr">
        <x:is>
          <x:t xml:space="preserve">previewToken</x:t>
        </x:is>
      </x:c>
      <x:c r="I57" s="9" t="inlineStr">
        <x:is>
          <x:t xml:space="preserve">1) revision 호출</x:t>
        </x:is>
      </x:c>
      <x:c r="J57" s="9" t="inlineStr">
        <x:is>
          <x:t xml:space="preserve">404 ACTIVE_PLAN_NOT_FOUND</x:t>
        </x:is>
      </x:c>
      <x:c r="K57" s="9" t="inlineStr">
        <x:is>
          <x:t xml:space="preserve">ACTIVE_PLAN_NOT_FOUND</x:t>
        </x:is>
      </x:c>
      <x:c r="L57" s="9" t="inlineStr">
        <x:is>
          <x:t xml:space="preserve">Yes</x:t>
        </x:is>
      </x:c>
      <x:c r="M57" s="9" t="inlineStr">
        <x:is>
          <x:t xml:space="preserve"/>
        </x:is>
      </x:c>
      <x:c r="N57" s="9" t="inlineStr">
        <x:is>
          <x:t xml:space="preserve">Not Run</x:t>
        </x:is>
      </x:c>
    </x:row>
    <x:row r="58" ht="36" customHeight="1">
      <x:c r="A58" s="9" t="inlineStr">
        <x:is>
          <x:t xml:space="preserve">PRV-004</x:t>
        </x:is>
      </x:c>
      <x:c r="B58" s="10" t="inlineStr">
        <x:is>
          <x:t xml:space="preserve">P0</x:t>
        </x:is>
      </x:c>
      <x:c r="C58" s="9" t="inlineStr">
        <x:is>
          <x:t xml:space="preserve">Plan Revision</x:t>
        </x:is>
      </x:c>
      <x:c r="D58" s="11" t="inlineStr">
        <x:is>
          <x:t xml:space="preserve">API</x:t>
        </x:is>
      </x:c>
      <x:c r="E58" s="9" t="inlineStr">
        <x:is>
          <x:t xml:space="preserve">POST /api/v1/users/me/monthly-plans/{yearMonth}/revisions</x:t>
        </x:is>
      </x:c>
      <x:c r="F58" s="9" t="inlineStr">
        <x:is>
          <x:t xml:space="preserve">동일 Idempotency-Key + 동일 요청 재시도</x:t>
        </x:is>
      </x:c>
      <x:c r="G58" s="9" t="inlineStr">
        <x:is>
          <x:t xml:space="preserve">issued preview 존재</x:t>
        </x:is>
      </x:c>
      <x:c r="H58" s="9" t="inlineStr">
        <x:is>
          <x:t xml:space="preserve">동일 request 반복</x:t>
        </x:is>
      </x:c>
      <x:c r="I58" s="9" t="inlineStr">
        <x:is>
          <x:t xml:space="preserve">1) revision 호출 2) 재시도</x:t>
        </x:is>
      </x:c>
      <x:c r="J58" s="9" t="inlineStr">
        <x:is>
          <x:t xml:space="preserve">최초 201/body 재반환</x:t>
        </x:is>
      </x:c>
      <x:c r="K58" s="9" t="inlineStr">
        <x:is>
          <x:t xml:space="preserve"/>
        </x:is>
      </x:c>
      <x:c r="L58" s="9" t="inlineStr">
        <x:is>
          <x:t xml:space="preserve">Yes</x:t>
        </x:is>
      </x:c>
      <x:c r="M58" s="9" t="inlineStr">
        <x:is>
          <x:t xml:space="preserve"/>
        </x:is>
      </x:c>
      <x:c r="N58" s="9" t="inlineStr">
        <x:is>
          <x:t xml:space="preserve">Not Run</x:t>
        </x:is>
      </x:c>
    </x:row>
    <x:row r="59" ht="36" customHeight="1">
      <x:c r="A59" s="9" t="inlineStr">
        <x:is>
          <x:t xml:space="preserve">PRV-005</x:t>
        </x:is>
      </x:c>
      <x:c r="B59" s="10" t="inlineStr">
        <x:is>
          <x:t xml:space="preserve">P0</x:t>
        </x:is>
      </x:c>
      <x:c r="C59" s="9" t="inlineStr">
        <x:is>
          <x:t xml:space="preserve">Plan Revision</x:t>
        </x:is>
      </x:c>
      <x:c r="D59" s="11" t="inlineStr">
        <x:is>
          <x:t xml:space="preserve">API</x:t>
        </x:is>
      </x:c>
      <x:c r="E59" s="9" t="inlineStr">
        <x:is>
          <x:t xml:space="preserve">POST /api/v1/users/me/monthly-plans/{yearMonth}/revisions</x:t>
        </x:is>
      </x:c>
      <x:c r="F59" s="9" t="inlineStr">
        <x:is>
          <x:t xml:space="preserve">수정 저장 후 기존 recommended action invalidated</x:t>
        </x:is>
      </x:c>
      <x:c r="G59" s="9" t="inlineStr">
        <x:is>
          <x:t xml:space="preserve">active plan 존재</x:t>
        </x:is>
      </x:c>
      <x:c r="H59" s="9" t="inlineStr">
        <x:is>
          <x:t xml:space="preserve">예산안 수정 데이터</x:t>
        </x:is>
      </x:c>
      <x:c r="I59" s="9" t="inlineStr">
        <x:is>
          <x:t xml:space="preserve">1) revision 호출 2) home 조회</x:t>
        </x:is>
      </x:c>
      <x:c r="J59" s="9" t="inlineStr">
        <x:is>
          <x:t xml:space="preserve">이전 recommended/snoozed action은 invalidated, 새 recommended action 노출</x:t>
        </x:is>
      </x:c>
      <x:c r="K59" s="9" t="inlineStr">
        <x:is>
          <x:t xml:space="preserve"/>
        </x:is>
      </x:c>
      <x:c r="L59" s="9" t="inlineStr">
        <x:is>
          <x:t xml:space="preserve">Yes</x:t>
        </x:is>
      </x:c>
      <x:c r="M59" s="9" t="inlineStr">
        <x:is>
          <x:t xml:space="preserve">action 재평가</x:t>
        </x:is>
      </x:c>
      <x:c r="N59" s="9" t="inlineStr">
        <x:is>
          <x:t xml:space="preserve">Not Run</x:t>
        </x:is>
      </x:c>
    </x:row>
    <x:row r="60" ht="36" customHeight="1">
      <x:c r="A60" s="9" t="inlineStr">
        <x:is>
          <x:t xml:space="preserve">EDIT-001</x:t>
        </x:is>
      </x:c>
      <x:c r="B60" s="12" t="inlineStr">
        <x:is>
          <x:t xml:space="preserve">P1</x:t>
        </x:is>
      </x:c>
      <x:c r="C60" s="9" t="inlineStr">
        <x:is>
          <x:t xml:space="preserve">Plan Edit</x:t>
        </x:is>
      </x:c>
      <x:c r="D60" s="13" t="inlineStr">
        <x:is>
          <x:t xml:space="preserve">UI</x:t>
        </x:is>
      </x:c>
      <x:c r="E60" s="9" t="inlineStr">
        <x:is>
          <x:t xml:space="preserve">/plan/edit</x:t>
        </x:is>
      </x:c>
      <x:c r="F60" s="9" t="inlineStr">
        <x:is>
          <x:t xml:space="preserve">draft dirty 상태에서 저장 버튼 비활성</x:t>
        </x:is>
      </x:c>
      <x:c r="G60" s="9" t="inlineStr">
        <x:is>
          <x:t xml:space="preserve">예산 수정 화면 진입</x:t>
        </x:is>
      </x:c>
      <x:c r="H60" s="9" t="inlineStr">
        <x:is>
          <x:t xml:space="preserve">livingBudget 필드 수정</x:t>
        </x:is>
      </x:c>
      <x:c r="I60" s="9" t="inlineStr">
        <x:is>
          <x:t xml:space="preserve">1) 필드 수정</x:t>
        </x:is>
      </x:c>
      <x:c r="J60" s="9" t="inlineStr">
        <x:is>
          <x:t xml:space="preserve">저장 비활성, 변경사항 반영 활성</x:t>
        </x:is>
      </x:c>
      <x:c r="K60" s="9" t="inlineStr">
        <x:is>
          <x:t xml:space="preserve"/>
        </x:is>
      </x:c>
      <x:c r="L60" s="9" t="inlineStr">
        <x:is>
          <x:t xml:space="preserve">No</x:t>
        </x:is>
      </x:c>
      <x:c r="M60" s="9" t="inlineStr">
        <x:is>
          <x:t xml:space="preserve">프론트 상태 계약</x:t>
        </x:is>
      </x:c>
      <x:c r="N60" s="9" t="inlineStr">
        <x:is>
          <x:t xml:space="preserve">Not Run</x:t>
        </x:is>
      </x:c>
    </x:row>
    <x:row r="61" ht="36" customHeight="1">
      <x:c r="A61" s="9" t="inlineStr">
        <x:is>
          <x:t xml:space="preserve">EDIT-002</x:t>
        </x:is>
      </x:c>
      <x:c r="B61" s="12" t="inlineStr">
        <x:is>
          <x:t xml:space="preserve">P1</x:t>
        </x:is>
      </x:c>
      <x:c r="C61" s="9" t="inlineStr">
        <x:is>
          <x:t xml:space="preserve">Plan Edit</x:t>
        </x:is>
      </x:c>
      <x:c r="D61" s="13" t="inlineStr">
        <x:is>
          <x:t xml:space="preserve">UI</x:t>
        </x:is>
      </x:c>
      <x:c r="E61" s="9" t="inlineStr">
        <x:is>
          <x:t xml:space="preserve">/plan/edit</x:t>
        </x:is>
      </x:c>
      <x:c r="F61" s="9" t="inlineStr">
        <x:is>
          <x:t xml:space="preserve">재계산 성공 후 저장 활성</x:t>
        </x:is>
      </x:c>
      <x:c r="G61" s="9" t="inlineStr">
        <x:is>
          <x:t xml:space="preserve">draft dirty 상태</x:t>
        </x:is>
      </x:c>
      <x:c r="H61" s="9" t="inlineStr">
        <x:is>
          <x:t xml:space="preserve">유효 override</x:t>
        </x:is>
      </x:c>
      <x:c r="I61" s="9" t="inlineStr">
        <x:is>
          <x:t xml:space="preserve">1) 변경사항 반영 2) 응답 수신</x:t>
        </x:is>
      </x:c>
      <x:c r="J61" s="9" t="inlineStr">
        <x:is>
          <x:t xml:space="preserve">결과 카드 최신값 표시, 저장 활성</x:t>
        </x:is>
      </x:c>
      <x:c r="K61" s="9" t="inlineStr">
        <x:is>
          <x:t xml:space="preserve"/>
        </x:is>
      </x:c>
      <x:c r="L61" s="9" t="inlineStr">
        <x:is>
          <x:t xml:space="preserve">No</x:t>
        </x:is>
      </x:c>
      <x:c r="M61" s="9" t="inlineStr">
        <x:is>
          <x:t xml:space="preserve"/>
        </x:is>
      </x:c>
      <x:c r="N61" s="9" t="inlineStr">
        <x:is>
          <x:t xml:space="preserve">Not Run</x:t>
        </x:is>
      </x:c>
    </x:row>
    <x:row r="62" ht="36" customHeight="1">
      <x:c r="A62" s="9" t="inlineStr">
        <x:is>
          <x:t xml:space="preserve">EDIT-003</x:t>
        </x:is>
      </x:c>
      <x:c r="B62" s="12" t="inlineStr">
        <x:is>
          <x:t xml:space="preserve">P1</x:t>
        </x:is>
      </x:c>
      <x:c r="C62" s="9" t="inlineStr">
        <x:is>
          <x:t xml:space="preserve">Plan Edit</x:t>
        </x:is>
      </x:c>
      <x:c r="D62" s="13" t="inlineStr">
        <x:is>
          <x:t xml:space="preserve">UI</x:t>
        </x:is>
      </x:c>
      <x:c r="E62" s="9" t="inlineStr">
        <x:is>
          <x:t xml:space="preserve">/plan/edit</x:t>
        </x:is>
      </x:c>
      <x:c r="F62" s="9" t="inlineStr">
        <x:is>
          <x:t xml:space="preserve">다른 기기에서 버전 충돌 시 conflicted 처리</x:t>
        </x:is>
      </x:c>
      <x:c r="G62" s="9" t="inlineStr">
        <x:is>
          <x:t xml:space="preserve">동일 계정 다른 세션에서 revision 발생</x:t>
        </x:is>
      </x:c>
      <x:c r="H62" s="9" t="inlineStr">
        <x:is>
          <x:t xml:space="preserve">기존 세션에서 저장 시도</x:t>
        </x:is>
      </x:c>
      <x:c r="I62" s="9" t="inlineStr">
        <x:is>
          <x:t xml:space="preserve">1) 저장 클릭</x:t>
        </x:is>
      </x:c>
      <x:c r="J62" s="9" t="inlineStr">
        <x:is>
          <x:t xml:space="preserve">경고 배너 노출 후 최신 preview 재불러오기</x:t>
        </x:is>
      </x:c>
      <x:c r="K62" s="9" t="inlineStr">
        <x:is>
          <x:t xml:space="preserve"/>
        </x:is>
      </x:c>
      <x:c r="L62" s="9" t="inlineStr">
        <x:is>
          <x:t xml:space="preserve">No</x:t>
        </x:is>
      </x:c>
      <x:c r="M62" s="9" t="inlineStr">
        <x:is>
          <x:t xml:space="preserve"/>
        </x:is>
      </x:c>
      <x:c r="N62" s="9" t="inlineStr">
        <x:is>
          <x:t xml:space="preserve">Not Run</x:t>
        </x:is>
      </x:c>
    </x:row>
    <x:row r="63" ht="36" customHeight="1">
      <x:c r="A63" s="9" t="inlineStr">
        <x:is>
          <x:t xml:space="preserve">ACT-001</x:t>
        </x:is>
      </x:c>
      <x:c r="B63" s="10" t="inlineStr">
        <x:is>
          <x:t xml:space="preserve">P0</x:t>
        </x:is>
      </x:c>
      <x:c r="C63" s="9" t="inlineStr">
        <x:is>
          <x:t xml:space="preserve">Action</x:t>
        </x:is>
      </x:c>
      <x:c r="D63" s="11" t="inlineStr">
        <x:is>
          <x:t xml:space="preserve">API</x:t>
        </x:is>
      </x:c>
      <x:c r="E63" s="9" t="inlineStr">
        <x:is>
          <x:t xml:space="preserve">POST /api/v1/users/me/actions/{actionId}/complete</x:t>
        </x:is>
      </x:c>
      <x:c r="F63" s="9" t="inlineStr">
        <x:is>
          <x:t xml:space="preserve">액션 완료 성공</x:t>
        </x:is>
      </x:c>
      <x:c r="G63" s="9" t="inlineStr">
        <x:is>
          <x:t xml:space="preserve">recommended action 존재</x:t>
        </x:is>
      </x:c>
      <x:c r="H63" s="9" t="inlineStr">
        <x:is>
          <x:t xml:space="preserve">actionId, Idempotency-Key</x:t>
        </x:is>
      </x:c>
      <x:c r="I63" s="9" t="inlineStr">
        <x:is>
          <x:t xml:space="preserve">1) complete 호출</x:t>
        </x:is>
      </x:c>
      <x:c r="J63" s="9" t="inlineStr">
        <x:is>
          <x:t xml:space="preserve">200, action.status=completed, currentAction 갱신 가능</x:t>
        </x:is>
      </x:c>
      <x:c r="K63" s="9" t="inlineStr">
        <x:is>
          <x:t xml:space="preserve"/>
        </x:is>
      </x:c>
      <x:c r="L63" s="9" t="inlineStr">
        <x:is>
          <x:t xml:space="preserve">Yes</x:t>
        </x:is>
      </x:c>
      <x:c r="M63" s="9" t="inlineStr">
        <x:is>
          <x:t xml:space="preserve"/>
        </x:is>
      </x:c>
      <x:c r="N63" s="9" t="inlineStr">
        <x:is>
          <x:t xml:space="preserve">Not Run</x:t>
        </x:is>
      </x:c>
    </x:row>
    <x:row r="64" ht="36" customHeight="1">
      <x:c r="A64" s="9" t="inlineStr">
        <x:is>
          <x:t xml:space="preserve">ACT-002</x:t>
        </x:is>
      </x:c>
      <x:c r="B64" s="10" t="inlineStr">
        <x:is>
          <x:t xml:space="preserve">P0</x:t>
        </x:is>
      </x:c>
      <x:c r="C64" s="9" t="inlineStr">
        <x:is>
          <x:t xml:space="preserve">Action</x:t>
        </x:is>
      </x:c>
      <x:c r="D64" s="11" t="inlineStr">
        <x:is>
          <x:t xml:space="preserve">API</x:t>
        </x:is>
      </x:c>
      <x:c r="E64" s="9" t="inlineStr">
        <x:is>
          <x:t xml:space="preserve">POST /api/v1/users/me/actions/{actionId}/complete</x:t>
        </x:is>
      </x:c>
      <x:c r="F64" s="9" t="inlineStr">
        <x:is>
          <x:t xml:space="preserve">이미 완료된 액션 재완료 차단</x:t>
        </x:is>
      </x:c>
      <x:c r="G64" s="9" t="inlineStr">
        <x:is>
          <x:t xml:space="preserve">completed action 존재</x:t>
        </x:is>
      </x:c>
      <x:c r="H64" s="9" t="inlineStr">
        <x:is>
          <x:t xml:space="preserve">같은 actionId</x:t>
        </x:is>
      </x:c>
      <x:c r="I64" s="9" t="inlineStr">
        <x:is>
          <x:t xml:space="preserve">1) complete 호출</x:t>
        </x:is>
      </x:c>
      <x:c r="J64" s="9" t="inlineStr">
        <x:is>
          <x:t xml:space="preserve">409 ACTION_ALREADY_COMPLETED</x:t>
        </x:is>
      </x:c>
      <x:c r="K64" s="9" t="inlineStr">
        <x:is>
          <x:t xml:space="preserve">ACTION_ALREADY_COMPLETED</x:t>
        </x:is>
      </x:c>
      <x:c r="L64" s="9" t="inlineStr">
        <x:is>
          <x:t xml:space="preserve">Yes</x:t>
        </x:is>
      </x:c>
      <x:c r="M64" s="9" t="inlineStr">
        <x:is>
          <x:t xml:space="preserve"/>
        </x:is>
      </x:c>
      <x:c r="N64" s="9" t="inlineStr">
        <x:is>
          <x:t xml:space="preserve">Not Run</x:t>
        </x:is>
      </x:c>
    </x:row>
    <x:row r="65" ht="36" customHeight="1">
      <x:c r="A65" s="9" t="inlineStr">
        <x:is>
          <x:t xml:space="preserve">ACT-003</x:t>
        </x:is>
      </x:c>
      <x:c r="B65" s="10" t="inlineStr">
        <x:is>
          <x:t xml:space="preserve">P0</x:t>
        </x:is>
      </x:c>
      <x:c r="C65" s="9" t="inlineStr">
        <x:is>
          <x:t xml:space="preserve">Action</x:t>
        </x:is>
      </x:c>
      <x:c r="D65" s="11" t="inlineStr">
        <x:is>
          <x:t xml:space="preserve">API</x:t>
        </x:is>
      </x:c>
      <x:c r="E65" s="9" t="inlineStr">
        <x:is>
          <x:t xml:space="preserve">POST /api/v1/users/me/actions/{actionId}/complete</x:t>
        </x:is>
      </x:c>
      <x:c r="F65" s="9" t="inlineStr">
        <x:is>
          <x:t xml:space="preserve">invalidated action 완료 차단</x:t>
        </x:is>
      </x:c>
      <x:c r="G65" s="9" t="inlineStr">
        <x:is>
          <x:t xml:space="preserve">revision 또는 checkin으로 invalidated</x:t>
        </x:is>
      </x:c>
      <x:c r="H65" s="9" t="inlineStr">
        <x:is>
          <x:t xml:space="preserve">같은 actionId</x:t>
        </x:is>
      </x:c>
      <x:c r="I65" s="9" t="inlineStr">
        <x:is>
          <x:t xml:space="preserve">1) complete 호출</x:t>
        </x:is>
      </x:c>
      <x:c r="J65" s="9" t="inlineStr">
        <x:is>
          <x:t xml:space="preserve">409 ACTION_INVALIDATED</x:t>
        </x:is>
      </x:c>
      <x:c r="K65" s="9" t="inlineStr">
        <x:is>
          <x:t xml:space="preserve">ACTION_INVALIDATED</x:t>
        </x:is>
      </x:c>
      <x:c r="L65" s="9" t="inlineStr">
        <x:is>
          <x:t xml:space="preserve">Yes</x:t>
        </x:is>
      </x:c>
      <x:c r="M65" s="9" t="inlineStr">
        <x:is>
          <x:t xml:space="preserve"/>
        </x:is>
      </x:c>
      <x:c r="N65" s="9" t="inlineStr">
        <x:is>
          <x:t xml:space="preserve">Not Run</x:t>
        </x:is>
      </x:c>
    </x:row>
    <x:row r="66" ht="36" customHeight="1">
      <x:c r="A66" s="9" t="inlineStr">
        <x:is>
          <x:t xml:space="preserve">ACT-004</x:t>
        </x:is>
      </x:c>
      <x:c r="B66" s="10" t="inlineStr">
        <x:is>
          <x:t xml:space="preserve">P0</x:t>
        </x:is>
      </x:c>
      <x:c r="C66" s="9" t="inlineStr">
        <x:is>
          <x:t xml:space="preserve">Action</x:t>
        </x:is>
      </x:c>
      <x:c r="D66" s="11" t="inlineStr">
        <x:is>
          <x:t xml:space="preserve">API</x:t>
        </x:is>
      </x:c>
      <x:c r="E66" s="9" t="inlineStr">
        <x:is>
          <x:t xml:space="preserve">POST /api/v1/users/me/actions/{actionId}/complete</x:t>
        </x:is>
      </x:c>
      <x:c r="F66" s="9" t="inlineStr">
        <x:is>
          <x:t xml:space="preserve">동일 Idempotency-Key 재시도 재반환</x:t>
        </x:is>
      </x:c>
      <x:c r="G66" s="9" t="inlineStr">
        <x:is>
          <x:t xml:space="preserve">recommended action 존재</x:t>
        </x:is>
      </x:c>
      <x:c r="H66" s="9" t="inlineStr">
        <x:is>
          <x:t xml:space="preserve">같은 actionId/key</x:t>
        </x:is>
      </x:c>
      <x:c r="I66" s="9" t="inlineStr">
        <x:is>
          <x:t xml:space="preserve">1) complete 2) 동일 요청 재시도</x:t>
        </x:is>
      </x:c>
      <x:c r="J66" s="9" t="inlineStr">
        <x:is>
          <x:t xml:space="preserve">동일 200/body 재반환</x:t>
        </x:is>
      </x:c>
      <x:c r="K66" s="9" t="inlineStr">
        <x:is>
          <x:t xml:space="preserve"/>
        </x:is>
      </x:c>
      <x:c r="L66" s="9" t="inlineStr">
        <x:is>
          <x:t xml:space="preserve">Yes</x:t>
        </x:is>
      </x:c>
      <x:c r="M66" s="9" t="inlineStr">
        <x:is>
          <x:t xml:space="preserve"/>
        </x:is>
      </x:c>
      <x:c r="N66" s="9" t="inlineStr">
        <x:is>
          <x:t xml:space="preserve">Not Run</x:t>
        </x:is>
      </x:c>
    </x:row>
    <x:row r="67" ht="36" customHeight="1">
      <x:c r="A67" s="9" t="inlineStr">
        <x:is>
          <x:t xml:space="preserve">ACT-005</x:t>
        </x:is>
      </x:c>
      <x:c r="B67" s="10" t="inlineStr">
        <x:is>
          <x:t xml:space="preserve">P0</x:t>
        </x:is>
      </x:c>
      <x:c r="C67" s="9" t="inlineStr">
        <x:is>
          <x:t xml:space="preserve">Action</x:t>
        </x:is>
      </x:c>
      <x:c r="D67" s="11" t="inlineStr">
        <x:is>
          <x:t xml:space="preserve">API</x:t>
        </x:is>
      </x:c>
      <x:c r="E67" s="9" t="inlineStr">
        <x:is>
          <x:t xml:space="preserve">POST /api/v1/users/me/actions/{actionId}/snooze</x:t>
        </x:is>
      </x:c>
      <x:c r="F67" s="9" t="inlineStr">
        <x:is>
          <x:t xml:space="preserve">액션 미루기 성공</x:t>
        </x:is>
      </x:c>
      <x:c r="G67" s="9" t="inlineStr">
        <x:is>
          <x:t xml:space="preserve">recommended action 존재</x:t>
        </x:is>
      </x:c>
      <x:c r="H67" s="9" t="inlineStr">
        <x:is>
          <x:t xml:space="preserve">actionId, Idempotency-Key</x:t>
        </x:is>
      </x:c>
      <x:c r="I67" s="9" t="inlineStr">
        <x:is>
          <x:t xml:space="preserve">1) snooze 호출</x:t>
        </x:is>
      </x:c>
      <x:c r="J67" s="9" t="inlineStr">
        <x:is>
          <x:t xml:space="preserve">200, action.status=snoozed</x:t>
        </x:is>
      </x:c>
      <x:c r="K67" s="9" t="inlineStr">
        <x:is>
          <x:t xml:space="preserve"/>
        </x:is>
      </x:c>
      <x:c r="L67" s="9" t="inlineStr">
        <x:is>
          <x:t xml:space="preserve">Yes</x:t>
        </x:is>
      </x:c>
      <x:c r="M67" s="9" t="inlineStr">
        <x:is>
          <x:t xml:space="preserve"/>
        </x:is>
      </x:c>
      <x:c r="N67" s="9" t="inlineStr">
        <x:is>
          <x:t xml:space="preserve">Not Run</x:t>
        </x:is>
      </x:c>
    </x:row>
    <x:row r="68" ht="36" customHeight="1">
      <x:c r="A68" s="9" t="inlineStr">
        <x:is>
          <x:t xml:space="preserve">ACT-006</x:t>
        </x:is>
      </x:c>
      <x:c r="B68" s="10" t="inlineStr">
        <x:is>
          <x:t xml:space="preserve">P0</x:t>
        </x:is>
      </x:c>
      <x:c r="C68" s="9" t="inlineStr">
        <x:is>
          <x:t xml:space="preserve">Action</x:t>
        </x:is>
      </x:c>
      <x:c r="D68" s="11" t="inlineStr">
        <x:is>
          <x:t xml:space="preserve">API</x:t>
        </x:is>
      </x:c>
      <x:c r="E68" s="9" t="inlineStr">
        <x:is>
          <x:t xml:space="preserve">POST /api/v1/users/me/actions/{actionId}/snooze</x:t>
        </x:is>
      </x:c>
      <x:c r="F68" s="9" t="inlineStr">
        <x:is>
          <x:t xml:space="preserve">이미 미뤄진 액션 재미루기 차단</x:t>
        </x:is>
      </x:c>
      <x:c r="G68" s="9" t="inlineStr">
        <x:is>
          <x:t xml:space="preserve">snoozed action 존재</x:t>
        </x:is>
      </x:c>
      <x:c r="H68" s="9" t="inlineStr">
        <x:is>
          <x:t xml:space="preserve">같은 actionId</x:t>
        </x:is>
      </x:c>
      <x:c r="I68" s="9" t="inlineStr">
        <x:is>
          <x:t xml:space="preserve">1) snooze 호출</x:t>
        </x:is>
      </x:c>
      <x:c r="J68" s="9" t="inlineStr">
        <x:is>
          <x:t xml:space="preserve">409 ACTION_ALREADY_SNOOZED</x:t>
        </x:is>
      </x:c>
      <x:c r="K68" s="9" t="inlineStr">
        <x:is>
          <x:t xml:space="preserve">ACTION_ALREADY_SNOOZED</x:t>
        </x:is>
      </x:c>
      <x:c r="L68" s="9" t="inlineStr">
        <x:is>
          <x:t xml:space="preserve">Yes</x:t>
        </x:is>
      </x:c>
      <x:c r="M68" s="9" t="inlineStr">
        <x:is>
          <x:t xml:space="preserve"/>
        </x:is>
      </x:c>
      <x:c r="N68" s="9" t="inlineStr">
        <x:is>
          <x:t xml:space="preserve">Not Run</x:t>
        </x:is>
      </x:c>
    </x:row>
    <x:row r="69" ht="36" customHeight="1">
      <x:c r="A69" s="9" t="inlineStr">
        <x:is>
          <x:t xml:space="preserve">ACT-007</x:t>
        </x:is>
      </x:c>
      <x:c r="B69" s="12" t="inlineStr">
        <x:is>
          <x:t xml:space="preserve">P1</x:t>
        </x:is>
      </x:c>
      <x:c r="C69" s="9" t="inlineStr">
        <x:is>
          <x:t xml:space="preserve">Home</x:t>
        </x:is>
      </x:c>
      <x:c r="D69" s="13" t="inlineStr">
        <x:is>
          <x:t xml:space="preserve">UI</x:t>
        </x:is>
      </x:c>
      <x:c r="E69" s="9" t="inlineStr">
        <x:is>
          <x:t xml:space="preserve">/home</x:t>
        </x:is>
      </x:c>
      <x:c r="F69" s="9" t="inlineStr">
        <x:is>
          <x:t xml:space="preserve">예산 수정 후 오늘의 액션 교체 토스트 표시</x:t>
        </x:is>
      </x:c>
      <x:c r="G69" s="9" t="inlineStr">
        <x:is>
          <x:t xml:space="preserve">home에서 action 표시 중</x:t>
        </x:is>
      </x:c>
      <x:c r="H69" s="9" t="inlineStr">
        <x:is>
          <x:t xml:space="preserve">예산안 수정 저장 완료</x:t>
        </x:is>
      </x:c>
      <x:c r="I69" s="9" t="inlineStr">
        <x:is>
          <x:t xml:space="preserve">1) 수정 저장 2) home 복귀</x:t>
        </x:is>
      </x:c>
      <x:c r="J69" s="9" t="inlineStr">
        <x:is>
          <x:t xml:space="preserve">'예산안 변경으로 오늘의 액션이 새로 계산되었습니다.' 토스트</x:t>
        </x:is>
      </x:c>
      <x:c r="K69" s="9" t="inlineStr">
        <x:is>
          <x:t xml:space="preserve"/>
        </x:is>
      </x:c>
      <x:c r="L69" s="9" t="inlineStr">
        <x:is>
          <x:t xml:space="preserve">No</x:t>
        </x:is>
      </x:c>
      <x:c r="M69" s="9" t="inlineStr">
        <x:is>
          <x:t xml:space="preserve"/>
        </x:is>
      </x:c>
      <x:c r="N69" s="9" t="inlineStr">
        <x:is>
          <x:t xml:space="preserve">Not Run</x:t>
        </x:is>
      </x:c>
    </x:row>
    <x:row r="70" ht="36" customHeight="1">
      <x:c r="A70" s="9" t="inlineStr">
        <x:is>
          <x:t xml:space="preserve">ACT-008</x:t>
        </x:is>
      </x:c>
      <x:c r="B70" s="12" t="inlineStr">
        <x:is>
          <x:t xml:space="preserve">P1</x:t>
        </x:is>
      </x:c>
      <x:c r="C70" s="9" t="inlineStr">
        <x:is>
          <x:t xml:space="preserve">Home</x:t>
        </x:is>
      </x:c>
      <x:c r="D70" s="13" t="inlineStr">
        <x:is>
          <x:t xml:space="preserve">UI</x:t>
        </x:is>
      </x:c>
      <x:c r="E70" s="9" t="inlineStr">
        <x:is>
          <x:t xml:space="preserve">/home</x:t>
        </x:is>
      </x:c>
      <x:c r="F70" s="9" t="inlineStr">
        <x:is>
          <x:t xml:space="preserve">초과 예산 발생 시 남은 예산 0 + 초과 배지</x:t>
        </x:is>
      </x:c>
      <x:c r="G70" s="9" t="inlineStr">
        <x:is>
          <x:t xml:space="preserve">overBudget&gt;0 상태</x:t>
        </x:is>
      </x:c>
      <x:c r="H70" s="9" t="inlineStr">
        <x:is>
          <x:t xml:space="preserve">해당 spendSummary</x:t>
        </x:is>
      </x:c>
      <x:c r="I70" s="9" t="inlineStr">
        <x:is>
          <x:t xml:space="preserve">1) home 진입</x:t>
        </x:is>
      </x:c>
      <x:c r="J70" s="9" t="inlineStr">
        <x:is>
          <x:t xml:space="preserve">남은 예산 0 표시, 초과 금액/배지 별도 노출</x:t>
        </x:is>
      </x:c>
      <x:c r="K70" s="9" t="inlineStr">
        <x:is>
          <x:t xml:space="preserve"/>
        </x:is>
      </x:c>
      <x:c r="L70" s="9" t="inlineStr">
        <x:is>
          <x:t xml:space="preserve">No</x:t>
        </x:is>
      </x:c>
      <x:c r="M70" s="9" t="inlineStr">
        <x:is>
          <x:t xml:space="preserve"/>
        </x:is>
      </x:c>
      <x:c r="N70" s="9" t="inlineStr">
        <x:is>
          <x:t xml:space="preserve">Not Run</x:t>
        </x:is>
      </x:c>
    </x:row>
    <x:row r="71" ht="36" customHeight="1">
      <x:c r="A71" s="9" t="inlineStr">
        <x:is>
          <x:t xml:space="preserve">CHK-001</x:t>
        </x:is>
      </x:c>
      <x:c r="B71" s="10" t="inlineStr">
        <x:is>
          <x:t xml:space="preserve">P0</x:t>
        </x:is>
      </x:c>
      <x:c r="C71" s="9" t="inlineStr">
        <x:is>
          <x:t xml:space="preserve">Weekly Checkin</x:t>
        </x:is>
      </x:c>
      <x:c r="D71" s="11" t="inlineStr">
        <x:is>
          <x:t xml:space="preserve">API</x:t>
        </x:is>
      </x:c>
      <x:c r="E71" s="9" t="inlineStr">
        <x:is>
          <x:t xml:space="preserve">PUT /api/v1/users/me/weekly-checkins/{yearMonth}/{weekNo}</x:t>
        </x:is>
      </x:c>
      <x:c r="F71" s="9" t="inlineStr">
        <x:is>
          <x:t xml:space="preserve">현재 주차 체크인 저장 성공</x:t>
        </x:is>
      </x:c>
      <x:c r="G71" s="9" t="inlineStr">
        <x:is>
          <x:t xml:space="preserve">active plan 존재, editable week</x:t>
        </x:is>
      </x:c>
      <x:c r="H71" s="9" t="inlineStr">
        <x:is>
          <x:t xml:space="preserve">living=130000, free=50000, exception=0</x:t>
        </x:is>
      </x:c>
      <x:c r="I71" s="9" t="inlineStr">
        <x:is>
          <x:t xml:space="preserve">1) checkin 저장</x:t>
        </x:is>
      </x:c>
      <x:c r="J71" s="9" t="inlineStr">
        <x:is>
          <x:t xml:space="preserve">200, spendSummary/currentAction 반영</x:t>
        </x:is>
      </x:c>
      <x:c r="K71" s="9" t="inlineStr">
        <x:is>
          <x:t xml:space="preserve"/>
        </x:is>
      </x:c>
      <x:c r="L71" s="9" t="inlineStr">
        <x:is>
          <x:t xml:space="preserve">Yes</x:t>
        </x:is>
      </x:c>
      <x:c r="M71" s="9" t="inlineStr">
        <x:is>
          <x:t xml:space="preserve"/>
        </x:is>
      </x:c>
      <x:c r="N71" s="9" t="inlineStr">
        <x:is>
          <x:t xml:space="preserve">Not Run</x:t>
        </x:is>
      </x:c>
    </x:row>
    <x:row r="72" ht="36" customHeight="1">
      <x:c r="A72" s="9" t="inlineStr">
        <x:is>
          <x:t xml:space="preserve">CHK-002</x:t>
        </x:is>
      </x:c>
      <x:c r="B72" s="10" t="inlineStr">
        <x:is>
          <x:t xml:space="preserve">P0</x:t>
        </x:is>
      </x:c>
      <x:c r="C72" s="9" t="inlineStr">
        <x:is>
          <x:t xml:space="preserve">Weekly Checkin</x:t>
        </x:is>
      </x:c>
      <x:c r="D72" s="11" t="inlineStr">
        <x:is>
          <x:t xml:space="preserve">API</x:t>
        </x:is>
      </x:c>
      <x:c r="E72" s="9" t="inlineStr">
        <x:is>
          <x:t xml:space="preserve">PUT /api/v1/users/me/weekly-checkins/{yearMonth}/{weekNo}</x:t>
        </x:is>
      </x:c>
      <x:c r="F72" s="9" t="inlineStr">
        <x:is>
          <x:t xml:space="preserve">같은 주차 재저장 시 upsert</x:t>
        </x:is>
      </x:c>
      <x:c r="G72" s="9" t="inlineStr">
        <x:is>
          <x:t xml:space="preserve">기존 week checkin 존재</x:t>
        </x:is>
      </x:c>
      <x:c r="H72" s="9" t="inlineStr">
        <x:is>
          <x:t xml:space="preserve">living=150000</x:t>
        </x:is>
      </x:c>
      <x:c r="I72" s="9" t="inlineStr">
        <x:is>
          <x:t xml:space="preserve">1) 동일 week 재저장</x:t>
        </x:is>
      </x:c>
      <x:c r="J72" s="9" t="inlineStr">
        <x:is>
          <x:t xml:space="preserve">200, 해당 주차 값 업데이트</x:t>
        </x:is>
      </x:c>
      <x:c r="K72" s="9" t="inlineStr">
        <x:is>
          <x:t xml:space="preserve"/>
        </x:is>
      </x:c>
      <x:c r="L72" s="9" t="inlineStr">
        <x:is>
          <x:t xml:space="preserve">Yes</x:t>
        </x:is>
      </x:c>
      <x:c r="M72" s="9" t="inlineStr">
        <x:is>
          <x:t xml:space="preserve">upsert 규칙</x:t>
        </x:is>
      </x:c>
      <x:c r="N72" s="9" t="inlineStr">
        <x:is>
          <x:t xml:space="preserve">Not Run</x:t>
        </x:is>
      </x:c>
    </x:row>
    <x:row r="73" ht="36" customHeight="1">
      <x:c r="A73" s="9" t="inlineStr">
        <x:is>
          <x:t xml:space="preserve">CHK-003</x:t>
        </x:is>
      </x:c>
      <x:c r="B73" s="10" t="inlineStr">
        <x:is>
          <x:t xml:space="preserve">P0</x:t>
        </x:is>
      </x:c>
      <x:c r="C73" s="9" t="inlineStr">
        <x:is>
          <x:t xml:space="preserve">Weekly Checkin</x:t>
        </x:is>
      </x:c>
      <x:c r="D73" s="11" t="inlineStr">
        <x:is>
          <x:t xml:space="preserve">API</x:t>
        </x:is>
      </x:c>
      <x:c r="E73" s="9" t="inlineStr">
        <x:is>
          <x:t xml:space="preserve">PUT /api/v1/users/me/weekly-checkins/{yearMonth}/{weekNo}</x:t>
        </x:is>
      </x:c>
      <x:c r="F73" s="9" t="inlineStr">
        <x:is>
          <x:t xml:space="preserve">미래 주차 수정 차단</x:t>
        </x:is>
      </x:c>
      <x:c r="G73" s="9" t="inlineStr">
        <x:is>
          <x:t xml:space="preserve">현재 2주차</x:t>
        </x:is>
      </x:c>
      <x:c r="H73" s="9" t="inlineStr">
        <x:is>
          <x:t xml:space="preserve">weekNo=4</x:t>
        </x:is>
      </x:c>
      <x:c r="I73" s="9" t="inlineStr">
        <x:is>
          <x:t xml:space="preserve">1) checkin 저장</x:t>
        </x:is>
      </x:c>
      <x:c r="J73" s="9" t="inlineStr">
        <x:is>
          <x:t xml:space="preserve">409 WEEK_NOT_EDITABLE</x:t>
        </x:is>
      </x:c>
      <x:c r="K73" s="9" t="inlineStr">
        <x:is>
          <x:t xml:space="preserve">WEEK_NOT_EDITABLE</x:t>
        </x:is>
      </x:c>
      <x:c r="L73" s="9" t="inlineStr">
        <x:is>
          <x:t xml:space="preserve">Yes</x:t>
        </x:is>
      </x:c>
      <x:c r="M73" s="9" t="inlineStr">
        <x:is>
          <x:t xml:space="preserve"/>
        </x:is>
      </x:c>
      <x:c r="N73" s="9" t="inlineStr">
        <x:is>
          <x:t xml:space="preserve">Not Run</x:t>
        </x:is>
      </x:c>
    </x:row>
    <x:row r="74" ht="36" customHeight="1">
      <x:c r="A74" s="9" t="inlineStr">
        <x:is>
          <x:t xml:space="preserve">CHK-004</x:t>
        </x:is>
      </x:c>
      <x:c r="B74" s="10" t="inlineStr">
        <x:is>
          <x:t xml:space="preserve">P0</x:t>
        </x:is>
      </x:c>
      <x:c r="C74" s="9" t="inlineStr">
        <x:is>
          <x:t xml:space="preserve">Weekly Checkin</x:t>
        </x:is>
      </x:c>
      <x:c r="D74" s="11" t="inlineStr">
        <x:is>
          <x:t xml:space="preserve">API</x:t>
        </x:is>
      </x:c>
      <x:c r="E74" s="9" t="inlineStr">
        <x:is>
          <x:t xml:space="preserve">PUT /api/v1/users/me/weekly-checkins/{yearMonth}/{weekNo}</x:t>
        </x:is>
      </x:c>
      <x:c r="F74" s="9" t="inlineStr">
        <x:is>
          <x:t xml:space="preserve">28일 종료 월의 5주차 경로 차단</x:t>
        </x:is>
      </x:c>
      <x:c r="G74" s="9" t="inlineStr">
        <x:is>
          <x:t xml:space="preserve">대상 월=2026-02</x:t>
        </x:is>
      </x:c>
      <x:c r="H74" s="9" t="inlineStr">
        <x:is>
          <x:t xml:space="preserve">weekNo=5</x:t>
        </x:is>
      </x:c>
      <x:c r="I74" s="9" t="inlineStr">
        <x:is>
          <x:t xml:space="preserve">1) checkin 저장</x:t>
        </x:is>
      </x:c>
      <x:c r="J74" s="9" t="inlineStr">
        <x:is>
          <x:t xml:space="preserve">409 WEEK_NOT_AVAILABLE_FOR_MONTH</x:t>
        </x:is>
      </x:c>
      <x:c r="K74" s="9" t="inlineStr">
        <x:is>
          <x:t xml:space="preserve">WEEK_NOT_AVAILABLE_FOR_MONTH</x:t>
        </x:is>
      </x:c>
      <x:c r="L74" s="9" t="inlineStr">
        <x:is>
          <x:t xml:space="preserve">Yes</x:t>
        </x:is>
      </x:c>
      <x:c r="M74" s="9" t="inlineStr">
        <x:is>
          <x:t xml:space="preserve"/>
        </x:is>
      </x:c>
      <x:c r="N74" s="9" t="inlineStr">
        <x:is>
          <x:t xml:space="preserve">Not Run</x:t>
        </x:is>
      </x:c>
    </x:row>
    <x:row r="75" ht="36" customHeight="1">
      <x:c r="A75" s="9" t="inlineStr">
        <x:is>
          <x:t xml:space="preserve">CHK-005</x:t>
        </x:is>
      </x:c>
      <x:c r="B75" s="10" t="inlineStr">
        <x:is>
          <x:t xml:space="preserve">P0</x:t>
        </x:is>
      </x:c>
      <x:c r="C75" s="9" t="inlineStr">
        <x:is>
          <x:t xml:space="preserve">Weekly Checkin</x:t>
        </x:is>
      </x:c>
      <x:c r="D75" s="11" t="inlineStr">
        <x:is>
          <x:t xml:space="preserve">API</x:t>
        </x:is>
      </x:c>
      <x:c r="E75" s="9" t="inlineStr">
        <x:is>
          <x:t xml:space="preserve">PUT /api/v1/users/me/weekly-checkins/{yearMonth}/{weekNo}</x:t>
        </x:is>
      </x:c>
      <x:c r="F75" s="9" t="inlineStr">
        <x:is>
          <x:t xml:space="preserve">월마감 후 전월 체크인 읽기 전용</x:t>
        </x:is>
      </x:c>
      <x:c r="G75" s="9" t="inlineStr">
        <x:is>
          <x:t xml:space="preserve">전월 report published</x:t>
        </x:is>
      </x:c>
      <x:c r="H75" s="9" t="inlineStr">
        <x:is>
          <x:t xml:space="preserve">전월 yearMonth, weekNo=4</x:t>
        </x:is>
      </x:c>
      <x:c r="I75" s="9" t="inlineStr">
        <x:is>
          <x:t xml:space="preserve">1) checkin 저장</x:t>
        </x:is>
      </x:c>
      <x:c r="J75" s="9" t="inlineStr">
        <x:is>
          <x:t xml:space="preserve">409 CHECKIN_READ_ONLY</x:t>
        </x:is>
      </x:c>
      <x:c r="K75" s="9" t="inlineStr">
        <x:is>
          <x:t xml:space="preserve">CHECKIN_READ_ONLY</x:t>
        </x:is>
      </x:c>
      <x:c r="L75" s="9" t="inlineStr">
        <x:is>
          <x:t xml:space="preserve">Yes</x:t>
        </x:is>
      </x:c>
      <x:c r="M75" s="9" t="inlineStr">
        <x:is>
          <x:t xml:space="preserve"/>
        </x:is>
      </x:c>
      <x:c r="N75" s="9" t="inlineStr">
        <x:is>
          <x:t xml:space="preserve">Not Run</x:t>
        </x:is>
      </x:c>
    </x:row>
    <x:row r="76" ht="36" customHeight="1">
      <x:c r="A76" s="9" t="inlineStr">
        <x:is>
          <x:t xml:space="preserve">CHK-006</x:t>
        </x:is>
      </x:c>
      <x:c r="B76" s="10" t="inlineStr">
        <x:is>
          <x:t xml:space="preserve">P0</x:t>
        </x:is>
      </x:c>
      <x:c r="C76" s="9" t="inlineStr">
        <x:is>
          <x:t xml:space="preserve">Weekly Checkin</x:t>
        </x:is>
      </x:c>
      <x:c r="D76" s="11" t="inlineStr">
        <x:is>
          <x:t xml:space="preserve">API</x:t>
        </x:is>
      </x:c>
      <x:c r="E76" s="9" t="inlineStr">
        <x:is>
          <x:t xml:space="preserve">PUT /api/v1/users/me/weekly-checkins/{yearMonth}/{weekNo}</x:t>
        </x:is>
      </x:c>
      <x:c r="F76" s="9" t="inlineStr">
        <x:is>
          <x:t xml:space="preserve">active plan 없으면 체크인 불가</x:t>
        </x:is>
      </x:c>
      <x:c r="G76" s="9" t="inlineStr">
        <x:is>
          <x:t xml:space="preserve">해당 월 active 없음</x:t>
        </x:is>
      </x:c>
      <x:c r="H76" s="9" t="inlineStr">
        <x:is>
          <x:t xml:space="preserve">현재월 week1</x:t>
        </x:is>
      </x:c>
      <x:c r="I76" s="9" t="inlineStr">
        <x:is>
          <x:t xml:space="preserve">1) checkin 저장</x:t>
        </x:is>
      </x:c>
      <x:c r="J76" s="9" t="inlineStr">
        <x:is>
          <x:t xml:space="preserve">404 ACTIVE_PLAN_NOT_FOUND</x:t>
        </x:is>
      </x:c>
      <x:c r="K76" s="9" t="inlineStr">
        <x:is>
          <x:t xml:space="preserve">ACTIVE_PLAN_NOT_FOUND</x:t>
        </x:is>
      </x:c>
      <x:c r="L76" s="9" t="inlineStr">
        <x:is>
          <x:t xml:space="preserve">Yes</x:t>
        </x:is>
      </x:c>
      <x:c r="M76" s="9" t="inlineStr">
        <x:is>
          <x:t xml:space="preserve"/>
        </x:is>
      </x:c>
      <x:c r="N76" s="9" t="inlineStr">
        <x:is>
          <x:t xml:space="preserve">Not Run</x:t>
        </x:is>
      </x:c>
    </x:row>
    <x:row r="77" ht="36" customHeight="1">
      <x:c r="A77" s="9" t="inlineStr">
        <x:is>
          <x:t xml:space="preserve">CHK-007</x:t>
        </x:is>
      </x:c>
      <x:c r="B77" s="12" t="inlineStr">
        <x:is>
          <x:t xml:space="preserve">P1</x:t>
        </x:is>
      </x:c>
      <x:c r="C77" s="9" t="inlineStr">
        <x:is>
          <x:t xml:space="preserve">Weekly Checkin</x:t>
        </x:is>
      </x:c>
      <x:c r="D77" s="11" t="inlineStr">
        <x:is>
          <x:t xml:space="preserve">API</x:t>
        </x:is>
      </x:c>
      <x:c r="E77" s="9" t="inlineStr">
        <x:is>
          <x:t xml:space="preserve">PUT /api/v1/users/me/weekly-checkins/{yearMonth}/{weekNo}</x:t>
        </x:is>
      </x:c>
      <x:c r="F77" s="9" t="inlineStr">
        <x:is>
          <x:t xml:space="preserve">알 수 없는 필드 추가 시 거부</x:t>
        </x:is>
      </x:c>
      <x:c r="G77" s="9" t="inlineStr">
        <x:is>
          <x:t xml:space="preserve">active plan 존재</x:t>
        </x:is>
      </x:c>
      <x:c r="H77" s="9" t="inlineStr">
        <x:is>
          <x:t xml:space="preserve">unexpectedField=1</x:t>
        </x:is>
      </x:c>
      <x:c r="I77" s="9" t="inlineStr">
        <x:is>
          <x:t xml:space="preserve">1) checkin 저장</x:t>
        </x:is>
      </x:c>
      <x:c r="J77" s="9" t="inlineStr">
        <x:is>
          <x:t xml:space="preserve">422</x:t>
        </x:is>
      </x:c>
      <x:c r="K77" s="9" t="inlineStr">
        <x:is>
          <x:t xml:space="preserve">VALIDATION_ERROR</x:t>
        </x:is>
      </x:c>
      <x:c r="L77" s="9" t="inlineStr">
        <x:is>
          <x:t xml:space="preserve">Yes</x:t>
        </x:is>
      </x:c>
      <x:c r="M77" s="9" t="inlineStr">
        <x:is>
          <x:t xml:space="preserve">additionalProperties=false</x:t>
        </x:is>
      </x:c>
      <x:c r="N77" s="9" t="inlineStr">
        <x:is>
          <x:t xml:space="preserve">Not Run</x:t>
        </x:is>
      </x:c>
    </x:row>
    <x:row r="78" ht="36" customHeight="1">
      <x:c r="A78" s="9" t="inlineStr">
        <x:is>
          <x:t xml:space="preserve">CHK-008</x:t>
        </x:is>
      </x:c>
      <x:c r="B78" s="12" t="inlineStr">
        <x:is>
          <x:t xml:space="preserve">P1</x:t>
        </x:is>
      </x:c>
      <x:c r="C78" s="9" t="inlineStr">
        <x:is>
          <x:t xml:space="preserve">Weekly Checkin</x:t>
        </x:is>
      </x:c>
      <x:c r="D78" s="11" t="inlineStr">
        <x:is>
          <x:t xml:space="preserve">API</x:t>
        </x:is>
      </x:c>
      <x:c r="E78" s="9" t="inlineStr">
        <x:is>
          <x:t xml:space="preserve">PUT /api/v1/users/me/weekly-checkins/{yearMonth}/{weekNo}</x:t>
        </x:is>
      </x:c>
      <x:c r="F78" s="9" t="inlineStr">
        <x:is>
          <x:t xml:space="preserve">음수 금액 거부</x:t>
        </x:is>
      </x:c>
      <x:c r="G78" s="9" t="inlineStr">
        <x:is>
          <x:t xml:space="preserve">active plan 존재</x:t>
        </x:is>
      </x:c>
      <x:c r="H78" s="9" t="inlineStr">
        <x:is>
          <x:t xml:space="preserve">livingSpendActual=-10000</x:t>
        </x:is>
      </x:c>
      <x:c r="I78" s="9" t="inlineStr">
        <x:is>
          <x:t xml:space="preserve">1) checkin 저장</x:t>
        </x:is>
      </x:c>
      <x:c r="J78" s="9" t="inlineStr">
        <x:is>
          <x:t xml:space="preserve">422</x:t>
        </x:is>
      </x:c>
      <x:c r="K78" s="9" t="inlineStr">
        <x:is>
          <x:t xml:space="preserve">VALIDATION_ERROR</x:t>
        </x:is>
      </x:c>
      <x:c r="L78" s="9" t="inlineStr">
        <x:is>
          <x:t xml:space="preserve">Yes</x:t>
        </x:is>
      </x:c>
      <x:c r="M78" s="9" t="inlineStr">
        <x:is>
          <x:t xml:space="preserve">WonAmount &gt;= 0</x:t>
        </x:is>
      </x:c>
      <x:c r="N78" s="9" t="inlineStr">
        <x:is>
          <x:t xml:space="preserve">Not Run</x:t>
        </x:is>
      </x:c>
    </x:row>
    <x:row r="79" ht="36" customHeight="1">
      <x:c r="A79" s="9" t="inlineStr">
        <x:is>
          <x:t xml:space="preserve">CHK-009</x:t>
        </x:is>
      </x:c>
      <x:c r="B79" s="12" t="inlineStr">
        <x:is>
          <x:t xml:space="preserve">P1</x:t>
        </x:is>
      </x:c>
      <x:c r="C79" s="9" t="inlineStr">
        <x:is>
          <x:t xml:space="preserve">Weekly Checkin</x:t>
        </x:is>
      </x:c>
      <x:c r="D79" s="11" t="inlineStr">
        <x:is>
          <x:t xml:space="preserve">API</x:t>
        </x:is>
      </x:c>
      <x:c r="E79" s="9" t="inlineStr">
        <x:is>
          <x:t xml:space="preserve">PUT /api/v1/users/me/weekly-checkins/{yearMonth}/{weekNo}</x:t>
        </x:is>
      </x:c>
      <x:c r="F79" s="9" t="inlineStr">
        <x:is>
          <x:t xml:space="preserve">체크인 저장 후 spendSummary 재계산</x:t>
        </x:is>
      </x:c>
      <x:c r="G79" s="9" t="inlineStr">
        <x:is>
          <x:t xml:space="preserve">active plan 존재</x:t>
        </x:is>
      </x:c>
      <x:c r="H79" s="9" t="inlineStr">
        <x:is>
          <x:t xml:space="preserve">일반 데이터</x:t>
        </x:is>
      </x:c>
      <x:c r="I79" s="9" t="inlineStr">
        <x:is>
          <x:t xml:space="preserve">1) 저장</x:t>
        </x:is>
      </x:c>
      <x:c r="J79" s="9" t="inlineStr">
        <x:is>
          <x:t xml:space="preserve">remainingTotal/livingRemaining/freeRemaining 갱신</x:t>
        </x:is>
      </x:c>
      <x:c r="K79" s="9" t="inlineStr">
        <x:is>
          <x:t xml:space="preserve"/>
        </x:is>
      </x:c>
      <x:c r="L79" s="9" t="inlineStr">
        <x:is>
          <x:t xml:space="preserve">Yes</x:t>
        </x:is>
      </x:c>
      <x:c r="M79" s="9" t="inlineStr">
        <x:is>
          <x:t xml:space="preserve"/>
        </x:is>
      </x:c>
      <x:c r="N79" s="9" t="inlineStr">
        <x:is>
          <x:t xml:space="preserve">Not Run</x:t>
        </x:is>
      </x:c>
    </x:row>
    <x:row r="80" ht="36" customHeight="1">
      <x:c r="A80" s="9" t="inlineStr">
        <x:is>
          <x:t xml:space="preserve">CHK-010</x:t>
        </x:is>
      </x:c>
      <x:c r="B80" s="12" t="inlineStr">
        <x:is>
          <x:t xml:space="preserve">P1</x:t>
        </x:is>
      </x:c>
      <x:c r="C80" s="9" t="inlineStr">
        <x:is>
          <x:t xml:space="preserve">Weekly Checkin</x:t>
        </x:is>
      </x:c>
      <x:c r="D80" s="13" t="inlineStr">
        <x:is>
          <x:t xml:space="preserve">UI</x:t>
        </x:is>
      </x:c>
      <x:c r="E80" s="9" t="inlineStr">
        <x:is>
          <x:t xml:space="preserve">/checkin/{yearMonth}/{weekNo}</x:t>
        </x:is>
      </x:c>
      <x:c r="F80" s="9" t="inlineStr">
        <x:is>
          <x:t xml:space="preserve">결과 저장 후 홈 액션 업데이트 토스트</x:t>
        </x:is>
      </x:c>
      <x:c r="G80" s="9" t="inlineStr">
        <x:is>
          <x:t xml:space="preserve">currentAction 변경 조건 충족</x:t>
        </x:is>
      </x:c>
      <x:c r="H80" s="9" t="inlineStr">
        <x:is>
          <x:t xml:space="preserve">예외지출 과다 입력</x:t>
        </x:is>
      </x:c>
      <x:c r="I80" s="9" t="inlineStr">
        <x:is>
          <x:t xml:space="preserve">1) 체크인 저장 2) 홈 이동</x:t>
        </x:is>
      </x:c>
      <x:c r="J80" s="9" t="inlineStr">
        <x:is>
          <x:t xml:space="preserve">'추천 액션이 업데이트되었습니다.' 토스트</x:t>
        </x:is>
      </x:c>
      <x:c r="K80" s="9" t="inlineStr">
        <x:is>
          <x:t xml:space="preserve"/>
        </x:is>
      </x:c>
      <x:c r="L80" s="9" t="inlineStr">
        <x:is>
          <x:t xml:space="preserve">No</x:t>
        </x:is>
      </x:c>
      <x:c r="M80" s="9" t="inlineStr">
        <x:is>
          <x:t xml:space="preserve"/>
        </x:is>
      </x:c>
      <x:c r="N80" s="9" t="inlineStr">
        <x:is>
          <x:t xml:space="preserve">Not Run</x:t>
        </x:is>
      </x:c>
    </x:row>
    <x:row r="81" ht="36" customHeight="1">
      <x:c r="A81" s="9" t="inlineStr">
        <x:is>
          <x:t xml:space="preserve">CHK-011</x:t>
        </x:is>
      </x:c>
      <x:c r="B81" s="12" t="inlineStr">
        <x:is>
          <x:t xml:space="preserve">P1</x:t>
        </x:is>
      </x:c>
      <x:c r="C81" s="9" t="inlineStr">
        <x:is>
          <x:t xml:space="preserve">Weekly Checkin</x:t>
        </x:is>
      </x:c>
      <x:c r="D81" s="13" t="inlineStr">
        <x:is>
          <x:t xml:space="preserve">UI</x:t>
        </x:is>
      </x:c>
      <x:c r="E81" s="9" t="inlineStr">
        <x:is>
          <x:t xml:space="preserve">/checkin/{yearMonth}/{weekNo}</x:t>
        </x:is>
      </x:c>
      <x:c r="F81" s="9" t="inlineStr">
        <x:is>
          <x:t xml:space="preserve">입력값 공란 대신 0 입력 요구</x:t>
        </x:is>
      </x:c>
      <x:c r="G81" s="9" t="inlineStr">
        <x:is>
          <x:t xml:space="preserve">active plan 존재</x:t>
        </x:is>
      </x:c>
      <x:c r="H81" s="9" t="inlineStr">
        <x:is>
          <x:t xml:space="preserve">freeSpendActual 공란</x:t>
        </x:is>
      </x:c>
      <x:c r="I81" s="9" t="inlineStr">
        <x:is>
          <x:t xml:space="preserve">1) 저장 시도</x:t>
        </x:is>
      </x:c>
      <x:c r="J81" s="9" t="inlineStr">
        <x:is>
          <x:t xml:space="preserve">필수값 경고 또는 0 입력 강제</x:t>
        </x:is>
      </x:c>
      <x:c r="K81" s="9" t="inlineStr">
        <x:is>
          <x:t xml:space="preserve"/>
        </x:is>
      </x:c>
      <x:c r="L81" s="9" t="inlineStr">
        <x:is>
          <x:t xml:space="preserve">No</x:t>
        </x:is>
      </x:c>
      <x:c r="M81" s="9" t="inlineStr">
        <x:is>
          <x:t xml:space="preserve"/>
        </x:is>
      </x:c>
      <x:c r="N81" s="9" t="inlineStr">
        <x:is>
          <x:t xml:space="preserve">Not Run</x:t>
        </x:is>
      </x:c>
    </x:row>
    <x:row r="82" ht="36" customHeight="1">
      <x:c r="A82" s="9" t="inlineStr">
        <x:is>
          <x:t xml:space="preserve">CHK-012</x:t>
        </x:is>
      </x:c>
      <x:c r="B82" s="12" t="inlineStr">
        <x:is>
          <x:t xml:space="preserve">P1</x:t>
        </x:is>
      </x:c>
      <x:c r="C82" s="9" t="inlineStr">
        <x:is>
          <x:t xml:space="preserve">Weekly Checkin</x:t>
        </x:is>
      </x:c>
      <x:c r="D82" s="11" t="inlineStr">
        <x:is>
          <x:t xml:space="preserve">API</x:t>
        </x:is>
      </x:c>
      <x:c r="E82" s="9" t="inlineStr">
        <x:is>
          <x:t xml:space="preserve">GET /api/v1/users/me/monthly-plans/{yearMonth}/active</x:t>
        </x:is>
      </x:c>
      <x:c r="F82" s="9" t="inlineStr">
        <x:is>
          <x:t xml:space="preserve">editableWeeks가 현재/과거 주차만 반환</x:t>
        </x:is>
      </x:c>
      <x:c r="G82" s="9" t="inlineStr">
        <x:is>
          <x:t xml:space="preserve">현재 3주차</x:t>
        </x:is>
      </x:c>
      <x:c r="H82" s="9" t="inlineStr">
        <x:is>
          <x:t xml:space="preserve">현재월 active 조회</x:t>
        </x:is>
      </x:c>
      <x:c r="I82" s="9" t="inlineStr">
        <x:is>
          <x:t xml:space="preserve">1) active 조회</x:t>
        </x:is>
      </x:c>
      <x:c r="J82" s="9" t="inlineStr">
        <x:is>
          <x:t xml:space="preserve">editableWeeks=[1,2,3] 형태</x:t>
        </x:is>
      </x:c>
      <x:c r="K82" s="9" t="inlineStr">
        <x:is>
          <x:t xml:space="preserve"/>
        </x:is>
      </x:c>
      <x:c r="L82" s="9" t="inlineStr">
        <x:is>
          <x:t xml:space="preserve">Yes</x:t>
        </x:is>
      </x:c>
      <x:c r="M82" s="9" t="inlineStr">
        <x:is>
          <x:t xml:space="preserve">UI 활성 제어</x:t>
        </x:is>
      </x:c>
      <x:c r="N82" s="9" t="inlineStr">
        <x:is>
          <x:t xml:space="preserve">Not Run</x:t>
        </x:is>
      </x:c>
    </x:row>
    <x:row r="83" ht="36" customHeight="1">
      <x:c r="A83" s="9" t="inlineStr">
        <x:is>
          <x:t xml:space="preserve">RPT-001</x:t>
        </x:is>
      </x:c>
      <x:c r="B83" s="10" t="inlineStr">
        <x:is>
          <x:t xml:space="preserve">P0</x:t>
        </x:is>
      </x:c>
      <x:c r="C83" s="9" t="inlineStr">
        <x:is>
          <x:t xml:space="preserve">Monthly Report</x:t>
        </x:is>
      </x:c>
      <x:c r="D83" s="11" t="inlineStr">
        <x:is>
          <x:t xml:space="preserve">API</x:t>
        </x:is>
      </x:c>
      <x:c r="E83" s="9" t="inlineStr">
        <x:is>
          <x:t xml:space="preserve">GET /api/v1/users/me/monthly-reports</x:t>
        </x:is>
      </x:c>
      <x:c r="F83" s="9" t="inlineStr">
        <x:is>
          <x:t xml:space="preserve">발행된 리포트 목록 조회 성공</x:t>
        </x:is>
      </x:c>
      <x:c r="G83" s="9" t="inlineStr">
        <x:is>
          <x:t xml:space="preserve">전월 report published</x:t>
        </x:is>
      </x:c>
      <x:c r="H83" s="9" t="inlineStr">
        <x:is>
          <x:t xml:space="preserve">없음</x:t>
        </x:is>
      </x:c>
      <x:c r="I83" s="9" t="inlineStr">
        <x:is>
          <x:t xml:space="preserve">1) 목록 조회</x:t>
        </x:is>
      </x:c>
      <x:c r="J83" s="9" t="inlineStr">
        <x:is>
          <x:t xml:space="preserve">200, published 월 목록 반환</x:t>
        </x:is>
      </x:c>
      <x:c r="K83" s="9" t="inlineStr">
        <x:is>
          <x:t xml:space="preserve"/>
        </x:is>
      </x:c>
      <x:c r="L83" s="9" t="inlineStr">
        <x:is>
          <x:t xml:space="preserve">Yes</x:t>
        </x:is>
      </x:c>
      <x:c r="M83" s="9" t="inlineStr">
        <x:is>
          <x:t xml:space="preserve"/>
        </x:is>
      </x:c>
      <x:c r="N83" s="9" t="inlineStr">
        <x:is>
          <x:t xml:space="preserve">Not Run</x:t>
        </x:is>
      </x:c>
    </x:row>
    <x:row r="84" ht="36" customHeight="1">
      <x:c r="A84" s="9" t="inlineStr">
        <x:is>
          <x:t xml:space="preserve">RPT-002</x:t>
        </x:is>
      </x:c>
      <x:c r="B84" s="10" t="inlineStr">
        <x:is>
          <x:t xml:space="preserve">P0</x:t>
        </x:is>
      </x:c>
      <x:c r="C84" s="9" t="inlineStr">
        <x:is>
          <x:t xml:space="preserve">Monthly Report</x:t>
        </x:is>
      </x:c>
      <x:c r="D84" s="11" t="inlineStr">
        <x:is>
          <x:t xml:space="preserve">API</x:t>
        </x:is>
      </x:c>
      <x:c r="E84" s="9" t="inlineStr">
        <x:is>
          <x:t xml:space="preserve">GET /api/v1/users/me/monthly-reports/{yearMonth}</x:t>
        </x:is>
      </x:c>
      <x:c r="F84" s="9" t="inlineStr">
        <x:is>
          <x:t xml:space="preserve">리포트 상세 조회 성공</x:t>
        </x:is>
      </x:c>
      <x:c r="G84" s="9" t="inlineStr">
        <x:is>
          <x:t xml:space="preserve">대상 월 report published</x:t>
        </x:is>
      </x:c>
      <x:c r="H84" s="9" t="inlineStr">
        <x:is>
          <x:t xml:space="preserve">yearMonth=전월</x:t>
        </x:is>
      </x:c>
      <x:c r="I84" s="9" t="inlineStr">
        <x:is>
          <x:t xml:space="preserve">1) 상세 조회</x:t>
        </x:is>
      </x:c>
      <x:c r="J84" s="9" t="inlineStr">
        <x:is>
          <x:t xml:space="preserve">200, goalStatus/comparisons/recommendedAdjustment 포함</x:t>
        </x:is>
      </x:c>
      <x:c r="K84" s="9" t="inlineStr">
        <x:is>
          <x:t xml:space="preserve"/>
        </x:is>
      </x:c>
      <x:c r="L84" s="9" t="inlineStr">
        <x:is>
          <x:t xml:space="preserve">Yes</x:t>
        </x:is>
      </x:c>
      <x:c r="M84" s="9" t="inlineStr">
        <x:is>
          <x:t xml:space="preserve">화면 필드 충족</x:t>
        </x:is>
      </x:c>
      <x:c r="N84" s="9" t="inlineStr">
        <x:is>
          <x:t xml:space="preserve">Not Run</x:t>
        </x:is>
      </x:c>
    </x:row>
    <x:row r="85" ht="36" customHeight="1">
      <x:c r="A85" s="9" t="inlineStr">
        <x:is>
          <x:t xml:space="preserve">RPT-003</x:t>
        </x:is>
      </x:c>
      <x:c r="B85" s="10" t="inlineStr">
        <x:is>
          <x:t xml:space="preserve">P0</x:t>
        </x:is>
      </x:c>
      <x:c r="C85" s="9" t="inlineStr">
        <x:is>
          <x:t xml:space="preserve">Monthly Report</x:t>
        </x:is>
      </x:c>
      <x:c r="D85" s="11" t="inlineStr">
        <x:is>
          <x:t xml:space="preserve">API</x:t>
        </x:is>
      </x:c>
      <x:c r="E85" s="9" t="inlineStr">
        <x:is>
          <x:t xml:space="preserve">GET /api/v1/users/me/monthly-reports/{yearMonth}</x:t>
        </x:is>
      </x:c>
      <x:c r="F85" s="9" t="inlineStr">
        <x:is>
          <x:t xml:space="preserve">미발행 월 리포트 조회 404</x:t>
        </x:is>
      </x:c>
      <x:c r="G85" s="9" t="inlineStr">
        <x:is>
          <x:t xml:space="preserve">현재월 마감 전</x:t>
        </x:is>
      </x:c>
      <x:c r="H85" s="9" t="inlineStr">
        <x:is>
          <x:t xml:space="preserve">yearMonth=현재월</x:t>
        </x:is>
      </x:c>
      <x:c r="I85" s="9" t="inlineStr">
        <x:is>
          <x:t xml:space="preserve">1) 상세 조회</x:t>
        </x:is>
      </x:c>
      <x:c r="J85" s="9" t="inlineStr">
        <x:is>
          <x:t xml:space="preserve">404 NOT_FOUND</x:t>
        </x:is>
      </x:c>
      <x:c r="K85" s="9" t="inlineStr">
        <x:is>
          <x:t xml:space="preserve">NOT_FOUND</x:t>
        </x:is>
      </x:c>
      <x:c r="L85" s="9" t="inlineStr">
        <x:is>
          <x:t xml:space="preserve">Yes</x:t>
        </x:is>
      </x:c>
      <x:c r="M85" s="9" t="inlineStr">
        <x:is>
          <x:t xml:space="preserve"/>
        </x:is>
      </x:c>
      <x:c r="N85" s="9" t="inlineStr">
        <x:is>
          <x:t xml:space="preserve">Not Run</x:t>
        </x:is>
      </x:c>
    </x:row>
    <x:row r="86" ht="36" customHeight="1">
      <x:c r="A86" s="9" t="inlineStr">
        <x:is>
          <x:t xml:space="preserve">RPT-004</x:t>
        </x:is>
      </x:c>
      <x:c r="B86" s="12" t="inlineStr">
        <x:is>
          <x:t xml:space="preserve">P1</x:t>
        </x:is>
      </x:c>
      <x:c r="C86" s="9" t="inlineStr">
        <x:is>
          <x:t xml:space="preserve">Monthly Report</x:t>
        </x:is>
      </x:c>
      <x:c r="D86" s="11" t="inlineStr">
        <x:is>
          <x:t xml:space="preserve">API</x:t>
        </x:is>
      </x:c>
      <x:c r="E86" s="9" t="inlineStr">
        <x:is>
          <x:t xml:space="preserve">GET /api/v1/users/me/monthly-reports/{yearMonth}</x:t>
        </x:is>
      </x:c>
      <x:c r="F86" s="9" t="inlineStr">
        <x:is>
          <x:t xml:space="preserve">recommendedAdjustment 객체가 정본인지 확인</x:t>
        </x:is>
      </x:c>
      <x:c r="G86" s="9" t="inlineStr">
        <x:is>
          <x:t xml:space="preserve">전월 report published</x:t>
        </x:is>
      </x:c>
      <x:c r="H86" s="9" t="inlineStr">
        <x:is>
          <x:t xml:space="preserve">일반 데이터</x:t>
        </x:is>
      </x:c>
      <x:c r="I86" s="9" t="inlineStr">
        <x:is>
          <x:t xml:space="preserve">1) 상세 조회</x:t>
        </x:is>
      </x:c>
      <x:c r="J86" s="9" t="inlineStr">
        <x:is>
          <x:t xml:space="preserve">type/amount/title/reasonText가 recommendedAdjustment 내부에만 존재</x:t>
        </x:is>
      </x:c>
      <x:c r="K86" s="9" t="inlineStr">
        <x:is>
          <x:t xml:space="preserve"/>
        </x:is>
      </x:c>
      <x:c r="L86" s="9" t="inlineStr">
        <x:is>
          <x:t xml:space="preserve">Yes</x:t>
        </x:is>
      </x:c>
      <x:c r="M86" s="9" t="inlineStr">
        <x:is>
          <x:t xml:space="preserve">중복 필드 제거 확인</x:t>
        </x:is>
      </x:c>
      <x:c r="N86" s="9" t="inlineStr">
        <x:is>
          <x:t xml:space="preserve">Not Run</x:t>
        </x:is>
      </x:c>
    </x:row>
    <x:row r="87" ht="36" customHeight="1">
      <x:c r="A87" s="9" t="inlineStr">
        <x:is>
          <x:t xml:space="preserve">RPT-005</x:t>
        </x:is>
      </x:c>
      <x:c r="B87" s="10" t="inlineStr">
        <x:is>
          <x:t xml:space="preserve">P0</x:t>
        </x:is>
      </x:c>
      <x:c r="C87" s="9" t="inlineStr">
        <x:is>
          <x:t xml:space="preserve">Batch</x:t>
        </x:is>
      </x:c>
      <x:c r="D87" s="14" t="inlineStr">
        <x:is>
          <x:t xml:space="preserve">Batch</x:t>
        </x:is>
      </x:c>
      <x:c r="E87" s="9" t="inlineStr">
        <x:is>
          <x:t xml:space="preserve">월마감 배치</x:t>
        </x:is>
      </x:c>
      <x:c r="F87" s="9" t="inlineStr">
        <x:is>
          <x:t xml:space="preserve">매월 1일 03:00 KST에 전월 마감</x:t>
        </x:is>
      </x:c>
      <x:c r="G87" s="9" t="inlineStr">
        <x:is>
          <x:t xml:space="preserve">전월 active plan 존재</x:t>
        </x:is>
      </x:c>
      <x:c r="H87" s="9" t="inlineStr">
        <x:is>
          <x:t xml:space="preserve">배치 시각=03:00 KST</x:t>
        </x:is>
      </x:c>
      <x:c r="I87" s="9" t="inlineStr">
        <x:is>
          <x:t xml:space="preserve">1) 배치 실행</x:t>
        </x:is>
      </x:c>
      <x:c r="J87" s="9" t="inlineStr">
        <x:is>
          <x:t xml:space="preserve">전월 active-&gt;closed, MonthlyReport published</x:t>
        </x:is>
      </x:c>
      <x:c r="K87" s="9" t="inlineStr">
        <x:is>
          <x:t xml:space="preserve"/>
        </x:is>
      </x:c>
      <x:c r="L87" s="9" t="inlineStr">
        <x:is>
          <x:t xml:space="preserve">No</x:t>
        </x:is>
      </x:c>
      <x:c r="M87" s="9" t="inlineStr">
        <x:is>
          <x:t xml:space="preserve">운영 배치</x:t>
        </x:is>
      </x:c>
      <x:c r="N87" s="9" t="inlineStr">
        <x:is>
          <x:t xml:space="preserve">Not Run</x:t>
        </x:is>
      </x:c>
    </x:row>
    <x:row r="88" ht="36" customHeight="1">
      <x:c r="A88" s="9" t="inlineStr">
        <x:is>
          <x:t xml:space="preserve">RPT-006</x:t>
        </x:is>
      </x:c>
      <x:c r="B88" s="10" t="inlineStr">
        <x:is>
          <x:t xml:space="preserve">P0</x:t>
        </x:is>
      </x:c>
      <x:c r="C88" s="9" t="inlineStr">
        <x:is>
          <x:t xml:space="preserve">Batch</x:t>
        </x:is>
      </x:c>
      <x:c r="D88" s="15" t="inlineStr">
        <x:is>
          <x:t xml:space="preserve">E2E</x:t>
        </x:is>
      </x:c>
      <x:c r="E88" s="9" t="inlineStr">
        <x:is>
          <x:t xml:space="preserve">월경계 체크인</x:t>
        </x:is>
      </x:c>
      <x:c r="F88" s="9" t="inlineStr">
        <x:is>
          <x:t xml:space="preserve">03:00 직전 전월 체크인 수정 가능</x:t>
        </x:is>
      </x:c>
      <x:c r="G88" s="9" t="inlineStr">
        <x:is>
          <x:t xml:space="preserve">전월 report 미발행, 현재시각 02:59 KST</x:t>
        </x:is>
      </x:c>
      <x:c r="H88" s="9" t="inlineStr">
        <x:is>
          <x:t xml:space="preserve">전월 week4</x:t>
        </x:is>
      </x:c>
      <x:c r="I88" s="9" t="inlineStr">
        <x:is>
          <x:t xml:space="preserve">1) checkin 저장</x:t>
        </x:is>
      </x:c>
      <x:c r="J88" s="9" t="inlineStr">
        <x:is>
          <x:t xml:space="preserve">200 성공</x:t>
        </x:is>
      </x:c>
      <x:c r="K88" s="9" t="inlineStr">
        <x:is>
          <x:t xml:space="preserve"/>
        </x:is>
      </x:c>
      <x:c r="L88" s="9" t="inlineStr">
        <x:is>
          <x:t xml:space="preserve">No</x:t>
        </x:is>
      </x:c>
      <x:c r="M88" s="9" t="inlineStr">
        <x:is>
          <x:t xml:space="preserve">경계 테스트</x:t>
        </x:is>
      </x:c>
      <x:c r="N88" s="9" t="inlineStr">
        <x:is>
          <x:t xml:space="preserve">Not Run</x:t>
        </x:is>
      </x:c>
    </x:row>
    <x:row r="89" ht="36" customHeight="1">
      <x:c r="A89" s="9" t="inlineStr">
        <x:is>
          <x:t xml:space="preserve">RPT-007</x:t>
        </x:is>
      </x:c>
      <x:c r="B89" s="10" t="inlineStr">
        <x:is>
          <x:t xml:space="preserve">P0</x:t>
        </x:is>
      </x:c>
      <x:c r="C89" s="9" t="inlineStr">
        <x:is>
          <x:t xml:space="preserve">Batch</x:t>
        </x:is>
      </x:c>
      <x:c r="D89" s="15" t="inlineStr">
        <x:is>
          <x:t xml:space="preserve">E2E</x:t>
        </x:is>
      </x:c>
      <x:c r="E89" s="9" t="inlineStr">
        <x:is>
          <x:t xml:space="preserve">월경계 체크인</x:t>
        </x:is>
      </x:c>
      <x:c r="F89" s="9" t="inlineStr">
        <x:is>
          <x:t xml:space="preserve">03:00 직후 전월 체크인 수정 불가</x:t>
        </x:is>
      </x:c>
      <x:c r="G89" s="9" t="inlineStr">
        <x:is>
          <x:t xml:space="preserve">전월 report published, 현재시각 03:00+</x:t>
        </x:is>
      </x:c>
      <x:c r="H89" s="9" t="inlineStr">
        <x:is>
          <x:t xml:space="preserve">전월 week4</x:t>
        </x:is>
      </x:c>
      <x:c r="I89" s="9" t="inlineStr">
        <x:is>
          <x:t xml:space="preserve">1) checkin 저장</x:t>
        </x:is>
      </x:c>
      <x:c r="J89" s="9" t="inlineStr">
        <x:is>
          <x:t xml:space="preserve">409 CHECKIN_READ_ONLY</x:t>
        </x:is>
      </x:c>
      <x:c r="K89" s="9" t="inlineStr">
        <x:is>
          <x:t xml:space="preserve">CHECKIN_READ_ONLY</x:t>
        </x:is>
      </x:c>
      <x:c r="L89" s="9" t="inlineStr">
        <x:is>
          <x:t xml:space="preserve">No</x:t>
        </x:is>
      </x:c>
      <x:c r="M89" s="9" t="inlineStr">
        <x:is>
          <x:t xml:space="preserve">경계 테스트</x:t>
        </x:is>
      </x:c>
      <x:c r="N89" s="9" t="inlineStr">
        <x:is>
          <x:t xml:space="preserve">Not Run</x:t>
        </x:is>
      </x:c>
    </x:row>
    <x:row r="90" ht="36" customHeight="1">
      <x:c r="A90" s="9" t="inlineStr">
        <x:is>
          <x:t xml:space="preserve">RPT-008</x:t>
        </x:is>
      </x:c>
      <x:c r="B90" s="12" t="inlineStr">
        <x:is>
          <x:t xml:space="preserve">P1</x:t>
        </x:is>
      </x:c>
      <x:c r="C90" s="9" t="inlineStr">
        <x:is>
          <x:t xml:space="preserve">Monthly Report</x:t>
        </x:is>
      </x:c>
      <x:c r="D90" s="13" t="inlineStr">
        <x:is>
          <x:t xml:space="preserve">UI</x:t>
        </x:is>
      </x:c>
      <x:c r="E90" s="9" t="inlineStr">
        <x:is>
          <x:t xml:space="preserve">/reports/{yearMonth}</x:t>
        </x:is>
      </x:c>
      <x:c r="F90" s="9" t="inlineStr">
        <x:is>
          <x:t xml:space="preserve">리포트 화면에 목표 상태/조정 사유 표시</x:t>
        </x:is>
      </x:c>
      <x:c r="G90" s="9" t="inlineStr">
        <x:is>
          <x:t xml:space="preserve">전월 report published</x:t>
        </x:is>
      </x:c>
      <x:c r="H90" s="9" t="inlineStr">
        <x:is>
          <x:t xml:space="preserve">일반 데이터</x:t>
        </x:is>
      </x:c>
      <x:c r="I90" s="9" t="inlineStr">
        <x:is>
          <x:t xml:space="preserve">1) 리포트 화면 진입</x:t>
        </x:is>
      </x:c>
      <x:c r="J90" s="9" t="inlineStr">
        <x:is>
          <x:t xml:space="preserve">goal status 카드와 recommendedAdjustment.reasonText 표시</x:t>
        </x:is>
      </x:c>
      <x:c r="K90" s="9" t="inlineStr">
        <x:is>
          <x:t xml:space="preserve"/>
        </x:is>
      </x:c>
      <x:c r="L90" s="9" t="inlineStr">
        <x:is>
          <x:t xml:space="preserve">No</x:t>
        </x:is>
      </x:c>
      <x:c r="M90" s="9" t="inlineStr">
        <x:is>
          <x:t xml:space="preserve"/>
        </x:is>
      </x:c>
      <x:c r="N90" s="9" t="inlineStr">
        <x:is>
          <x:t xml:space="preserve">Not Run</x:t>
        </x:is>
      </x:c>
    </x:row>
    <x:row r="91" ht="36" customHeight="1">
      <x:c r="A91" s="9" t="inlineStr">
        <x:is>
          <x:t xml:space="preserve">NTE-001</x:t>
        </x:is>
      </x:c>
      <x:c r="B91" s="12" t="inlineStr">
        <x:is>
          <x:t xml:space="preserve">P1</x:t>
        </x:is>
      </x:c>
      <x:c r="C91" s="9" t="inlineStr">
        <x:is>
          <x:t xml:space="preserve">Notices</x:t>
        </x:is>
      </x:c>
      <x:c r="D91" s="11" t="inlineStr">
        <x:is>
          <x:t xml:space="preserve">API</x:t>
        </x:is>
      </x:c>
      <x:c r="E91" s="9" t="inlineStr">
        <x:is>
          <x:t xml:space="preserve">GET /api/v1/notices</x:t>
        </x:is>
      </x:c>
      <x:c r="F91" s="9" t="inlineStr">
        <x:is>
          <x:t xml:space="preserve">공지 목록 조회 성공</x:t>
        </x:is>
      </x:c>
      <x:c r="G91" s="9" t="inlineStr">
        <x:is>
          <x:t xml:space="preserve">로그인 완료</x:t>
        </x:is>
      </x:c>
      <x:c r="H91" s="9" t="inlineStr">
        <x:is>
          <x:t xml:space="preserve">없음</x:t>
        </x:is>
      </x:c>
      <x:c r="I91" s="9" t="inlineStr">
        <x:is>
          <x:t xml:space="preserve">1) 목록 조회</x:t>
        </x:is>
      </x:c>
      <x:c r="J91" s="9" t="inlineStr">
        <x:is>
          <x:t xml:space="preserve">200, 중요공지 우선/최신순 데이터</x:t>
        </x:is>
      </x:c>
      <x:c r="K91" s="9" t="inlineStr">
        <x:is>
          <x:t xml:space="preserve"/>
        </x:is>
      </x:c>
      <x:c r="L91" s="9" t="inlineStr">
        <x:is>
          <x:t xml:space="preserve">Yes</x:t>
        </x:is>
      </x:c>
      <x:c r="M91" s="9" t="inlineStr">
        <x:is>
          <x:t xml:space="preserve">정렬은 서비스 로직</x:t>
        </x:is>
      </x:c>
      <x:c r="N91" s="9" t="inlineStr">
        <x:is>
          <x:t xml:space="preserve">Not Run</x:t>
        </x:is>
      </x:c>
    </x:row>
    <x:row r="92" ht="36" customHeight="1">
      <x:c r="A92" s="9" t="inlineStr">
        <x:is>
          <x:t xml:space="preserve">NTE-002</x:t>
        </x:is>
      </x:c>
      <x:c r="B92" s="12" t="inlineStr">
        <x:is>
          <x:t xml:space="preserve">P1</x:t>
        </x:is>
      </x:c>
      <x:c r="C92" s="9" t="inlineStr">
        <x:is>
          <x:t xml:space="preserve">Notices</x:t>
        </x:is>
      </x:c>
      <x:c r="D92" s="11" t="inlineStr">
        <x:is>
          <x:t xml:space="preserve">API</x:t>
        </x:is>
      </x:c>
      <x:c r="E92" s="9" t="inlineStr">
        <x:is>
          <x:t xml:space="preserve">GET /api/v1/notices/{noticeId}</x:t>
        </x:is>
      </x:c>
      <x:c r="F92" s="9" t="inlineStr">
        <x:is>
          <x:t xml:space="preserve">존재하지 않는 공지 상세 404</x:t>
        </x:is>
      </x:c>
      <x:c r="G92" s="9" t="inlineStr">
        <x:is>
          <x:t xml:space="preserve">로그인 완료</x:t>
        </x:is>
      </x:c>
      <x:c r="H92" s="9" t="inlineStr">
        <x:is>
          <x:t xml:space="preserve">invalid noticeId</x:t>
        </x:is>
      </x:c>
      <x:c r="I92" s="9" t="inlineStr">
        <x:is>
          <x:t xml:space="preserve">1) 상세 조회</x:t>
        </x:is>
      </x:c>
      <x:c r="J92" s="9" t="inlineStr">
        <x:is>
          <x:t xml:space="preserve">404 NOT_FOUND</x:t>
        </x:is>
      </x:c>
      <x:c r="K92" s="9" t="inlineStr">
        <x:is>
          <x:t xml:space="preserve">NOT_FOUND</x:t>
        </x:is>
      </x:c>
      <x:c r="L92" s="9" t="inlineStr">
        <x:is>
          <x:t xml:space="preserve">Yes</x:t>
        </x:is>
      </x:c>
      <x:c r="M92" s="9" t="inlineStr">
        <x:is>
          <x:t xml:space="preserve"/>
        </x:is>
      </x:c>
      <x:c r="N92" s="9" t="inlineStr">
        <x:is>
          <x:t xml:space="preserve">Not Run</x:t>
        </x:is>
      </x:c>
    </x:row>
    <x:row r="93" ht="36" customHeight="1">
      <x:c r="A93" s="9" t="inlineStr">
        <x:is>
          <x:t xml:space="preserve">INQ-001</x:t>
        </x:is>
      </x:c>
      <x:c r="B93" s="12" t="inlineStr">
        <x:is>
          <x:t xml:space="preserve">P1</x:t>
        </x:is>
      </x:c>
      <x:c r="C93" s="9" t="inlineStr">
        <x:is>
          <x:t xml:space="preserve">Inquiry</x:t>
        </x:is>
      </x:c>
      <x:c r="D93" s="11" t="inlineStr">
        <x:is>
          <x:t xml:space="preserve">API</x:t>
        </x:is>
      </x:c>
      <x:c r="E93" s="9" t="inlineStr">
        <x:is>
          <x:t xml:space="preserve">POST /api/v1/inquiries</x:t>
        </x:is>
      </x:c>
      <x:c r="F93" s="9" t="inlineStr">
        <x:is>
          <x:t xml:space="preserve">문의 등록 성공</x:t>
        </x:is>
      </x:c>
      <x:c r="G93" s="9" t="inlineStr">
        <x:is>
          <x:t xml:space="preserve">로그인 완료</x:t>
        </x:is>
      </x:c>
      <x:c r="H93" s="9" t="inlineStr">
        <x:is>
          <x:t xml:space="preserve">inquiryType=calculation_rule, title/body 유효</x:t>
        </x:is>
      </x:c>
      <x:c r="I93" s="9" t="inlineStr">
        <x:is>
          <x:t xml:space="preserve">1) 문의 등록</x:t>
        </x:is>
      </x:c>
      <x:c r="J93" s="9" t="inlineStr">
        <x:is>
          <x:t xml:space="preserve">201</x:t>
        </x:is>
      </x:c>
      <x:c r="K93" s="9" t="inlineStr">
        <x:is>
          <x:t xml:space="preserve"/>
        </x:is>
      </x:c>
      <x:c r="L93" s="9" t="inlineStr">
        <x:is>
          <x:t xml:space="preserve">Yes</x:t>
        </x:is>
      </x:c>
      <x:c r="M93" s="9" t="inlineStr">
        <x:is>
          <x:t xml:space="preserve"/>
        </x:is>
      </x:c>
      <x:c r="N93" s="9" t="inlineStr">
        <x:is>
          <x:t xml:space="preserve">Not Run</x:t>
        </x:is>
      </x:c>
    </x:row>
    <x:row r="94" ht="36" customHeight="1">
      <x:c r="A94" s="9" t="inlineStr">
        <x:is>
          <x:t xml:space="preserve">INQ-002</x:t>
        </x:is>
      </x:c>
      <x:c r="B94" s="12" t="inlineStr">
        <x:is>
          <x:t xml:space="preserve">P1</x:t>
        </x:is>
      </x:c>
      <x:c r="C94" s="9" t="inlineStr">
        <x:is>
          <x:t xml:space="preserve">Inquiry</x:t>
        </x:is>
      </x:c>
      <x:c r="D94" s="11" t="inlineStr">
        <x:is>
          <x:t xml:space="preserve">API</x:t>
        </x:is>
      </x:c>
      <x:c r="E94" s="9" t="inlineStr">
        <x:is>
          <x:t xml:space="preserve">POST /api/v1/inquiries</x:t>
        </x:is>
      </x:c>
      <x:c r="F94" s="9" t="inlineStr">
        <x:is>
          <x:t xml:space="preserve">제목 길이 부족 거부</x:t>
        </x:is>
      </x:c>
      <x:c r="G94" s="9" t="inlineStr">
        <x:is>
          <x:t xml:space="preserve">로그인 완료</x:t>
        </x:is>
      </x:c>
      <x:c r="H94" s="9" t="inlineStr">
        <x:is>
          <x:t xml:space="preserve">title=짧음</x:t>
        </x:is>
      </x:c>
      <x:c r="I94" s="9" t="inlineStr">
        <x:is>
          <x:t xml:space="preserve">1) 문의 등록</x:t>
        </x:is>
      </x:c>
      <x:c r="J94" s="9" t="inlineStr">
        <x:is>
          <x:t xml:space="preserve">422</x:t>
        </x:is>
      </x:c>
      <x:c r="K94" s="9" t="inlineStr">
        <x:is>
          <x:t xml:space="preserve">VALIDATION_ERROR</x:t>
        </x:is>
      </x:c>
      <x:c r="L94" s="9" t="inlineStr">
        <x:is>
          <x:t xml:space="preserve">Yes</x:t>
        </x:is>
      </x:c>
      <x:c r="M94" s="9" t="inlineStr">
        <x:is>
          <x:t xml:space="preserve">minLength=5</x:t>
        </x:is>
      </x:c>
      <x:c r="N94" s="9" t="inlineStr">
        <x:is>
          <x:t xml:space="preserve">Not Run</x:t>
        </x:is>
      </x:c>
    </x:row>
    <x:row r="95" ht="36" customHeight="1">
      <x:c r="A95" s="9" t="inlineStr">
        <x:is>
          <x:t xml:space="preserve">INQ-003</x:t>
        </x:is>
      </x:c>
      <x:c r="B95" s="12" t="inlineStr">
        <x:is>
          <x:t xml:space="preserve">P1</x:t>
        </x:is>
      </x:c>
      <x:c r="C95" s="9" t="inlineStr">
        <x:is>
          <x:t xml:space="preserve">Inquiry</x:t>
        </x:is>
      </x:c>
      <x:c r="D95" s="11" t="inlineStr">
        <x:is>
          <x:t xml:space="preserve">API</x:t>
        </x:is>
      </x:c>
      <x:c r="E95" s="9" t="inlineStr">
        <x:is>
          <x:t xml:space="preserve">POST /api/v1/inquiries</x:t>
        </x:is>
      </x:c>
      <x:c r="F95" s="9" t="inlineStr">
        <x:is>
          <x:t xml:space="preserve">본문 길이 부족 거부</x:t>
        </x:is>
      </x:c>
      <x:c r="G95" s="9" t="inlineStr">
        <x:is>
          <x:t xml:space="preserve">로그인 완료</x:t>
        </x:is>
      </x:c>
      <x:c r="H95" s="9" t="inlineStr">
        <x:is>
          <x:t xml:space="preserve">body=짧다</x:t>
        </x:is>
      </x:c>
      <x:c r="I95" s="9" t="inlineStr">
        <x:is>
          <x:t xml:space="preserve">1) 문의 등록</x:t>
        </x:is>
      </x:c>
      <x:c r="J95" s="9" t="inlineStr">
        <x:is>
          <x:t xml:space="preserve">422</x:t>
        </x:is>
      </x:c>
      <x:c r="K95" s="9" t="inlineStr">
        <x:is>
          <x:t xml:space="preserve">VALIDATION_ERROR</x:t>
        </x:is>
      </x:c>
      <x:c r="L95" s="9" t="inlineStr">
        <x:is>
          <x:t xml:space="preserve">Yes</x:t>
        </x:is>
      </x:c>
      <x:c r="M95" s="9" t="inlineStr">
        <x:is>
          <x:t xml:space="preserve">minLength=10</x:t>
        </x:is>
      </x:c>
      <x:c r="N95" s="9" t="inlineStr">
        <x:is>
          <x:t xml:space="preserve">Not Run</x:t>
        </x:is>
      </x:c>
    </x:row>
    <x:row r="96" ht="36" customHeight="1">
      <x:c r="A96" s="9" t="inlineStr">
        <x:is>
          <x:t xml:space="preserve">INQ-004</x:t>
        </x:is>
      </x:c>
      <x:c r="B96" s="12" t="inlineStr">
        <x:is>
          <x:t xml:space="preserve">P1</x:t>
        </x:is>
      </x:c>
      <x:c r="C96" s="9" t="inlineStr">
        <x:is>
          <x:t xml:space="preserve">Inquiry</x:t>
        </x:is>
      </x:c>
      <x:c r="D96" s="11" t="inlineStr">
        <x:is>
          <x:t xml:space="preserve">API</x:t>
        </x:is>
      </x:c>
      <x:c r="E96" s="9" t="inlineStr">
        <x:is>
          <x:t xml:space="preserve">POST /api/v1/inquiries</x:t>
        </x:is>
      </x:c>
      <x:c r="F96" s="9" t="inlineStr">
        <x:is>
          <x:t xml:space="preserve">replyEmail 형식 오류 거부</x:t>
        </x:is>
      </x:c>
      <x:c r="G96" s="9" t="inlineStr">
        <x:is>
          <x:t xml:space="preserve">로그인 완료</x:t>
        </x:is>
      </x:c>
      <x:c r="H96" s="9" t="inlineStr">
        <x:is>
          <x:t xml:space="preserve">replyEmail=wrong</x:t>
        </x:is>
      </x:c>
      <x:c r="I96" s="9" t="inlineStr">
        <x:is>
          <x:t xml:space="preserve">1) 문의 등록</x:t>
        </x:is>
      </x:c>
      <x:c r="J96" s="9" t="inlineStr">
        <x:is>
          <x:t xml:space="preserve">422</x:t>
        </x:is>
      </x:c>
      <x:c r="K96" s="9" t="inlineStr">
        <x:is>
          <x:t xml:space="preserve">VALIDATION_ERROR</x:t>
        </x:is>
      </x:c>
      <x:c r="L96" s="9" t="inlineStr">
        <x:is>
          <x:t xml:space="preserve">Yes</x:t>
        </x:is>
      </x:c>
      <x:c r="M96" s="9" t="inlineStr">
        <x:is>
          <x:t xml:space="preserve"/>
        </x:is>
      </x:c>
      <x:c r="N96" s="9" t="inlineStr">
        <x:is>
          <x:t xml:space="preserve">Not Run</x:t>
        </x:is>
      </x:c>
    </x:row>
    <x:row r="97" ht="36" customHeight="1">
      <x:c r="A97" s="9" t="inlineStr">
        <x:is>
          <x:t xml:space="preserve">INQ-005</x:t>
        </x:is>
      </x:c>
      <x:c r="B97" s="12" t="inlineStr">
        <x:is>
          <x:t xml:space="preserve">P1</x:t>
        </x:is>
      </x:c>
      <x:c r="C97" s="9" t="inlineStr">
        <x:is>
          <x:t xml:space="preserve">Inquiry</x:t>
        </x:is>
      </x:c>
      <x:c r="D97" s="11" t="inlineStr">
        <x:is>
          <x:t xml:space="preserve">API</x:t>
        </x:is>
      </x:c>
      <x:c r="E97" s="9" t="inlineStr">
        <x:is>
          <x:t xml:space="preserve">POST /api/v1/inquiries</x:t>
        </x:is>
      </x:c>
      <x:c r="F97" s="9" t="inlineStr">
        <x:is>
          <x:t xml:space="preserve">알 수 없는 필드 추가 시 거부</x:t>
        </x:is>
      </x:c>
      <x:c r="G97" s="9" t="inlineStr">
        <x:is>
          <x:t xml:space="preserve">로그인 완료</x:t>
        </x:is>
      </x:c>
      <x:c r="H97" s="9" t="inlineStr">
        <x:is>
          <x:t xml:space="preserve">unexpectedField=1</x:t>
        </x:is>
      </x:c>
      <x:c r="I97" s="9" t="inlineStr">
        <x:is>
          <x:t xml:space="preserve">1) 문의 등록</x:t>
        </x:is>
      </x:c>
      <x:c r="J97" s="9" t="inlineStr">
        <x:is>
          <x:t xml:space="preserve">422</x:t>
        </x:is>
      </x:c>
      <x:c r="K97" s="9" t="inlineStr">
        <x:is>
          <x:t xml:space="preserve">VALIDATION_ERROR</x:t>
        </x:is>
      </x:c>
      <x:c r="L97" s="9" t="inlineStr">
        <x:is>
          <x:t xml:space="preserve">Yes</x:t>
        </x:is>
      </x:c>
      <x:c r="M97" s="9" t="inlineStr">
        <x:is>
          <x:t xml:space="preserve">additionalProperties=false</x:t>
        </x:is>
      </x:c>
      <x:c r="N97" s="9" t="inlineStr">
        <x:is>
          <x:t xml:space="preserve">Not Run</x:t>
        </x:is>
      </x:c>
    </x:row>
    <x:row r="98" ht="36" customHeight="1">
      <x:c r="A98" s="9" t="inlineStr">
        <x:is>
          <x:t xml:space="preserve">INQ-006</x:t>
        </x:is>
      </x:c>
      <x:c r="B98" s="16" t="inlineStr">
        <x:is>
          <x:t xml:space="preserve">P2</x:t>
        </x:is>
      </x:c>
      <x:c r="C98" s="9" t="inlineStr">
        <x:is>
          <x:t xml:space="preserve">Inquiry</x:t>
        </x:is>
      </x:c>
      <x:c r="D98" s="13" t="inlineStr">
        <x:is>
          <x:t xml:space="preserve">UI</x:t>
        </x:is>
      </x:c>
      <x:c r="E98" s="9" t="inlineStr">
        <x:is>
          <x:t xml:space="preserve">/contact</x:t>
        </x:is>
      </x:c>
      <x:c r="F98" s="9" t="inlineStr">
        <x:is>
          <x:t xml:space="preserve">문의 등록 성공 후 설정 화면 복귀</x:t>
        </x:is>
      </x:c>
      <x:c r="G98" s="9" t="inlineStr">
        <x:is>
          <x:t xml:space="preserve">로그인 완료</x:t>
        </x:is>
      </x:c>
      <x:c r="H98" s="9" t="inlineStr">
        <x:is>
          <x:t xml:space="preserve">유효한 문의 입력</x:t>
        </x:is>
      </x:c>
      <x:c r="I98" s="9" t="inlineStr">
        <x:is>
          <x:t xml:space="preserve">1) 문의 작성 2) 등록</x:t>
        </x:is>
      </x:c>
      <x:c r="J98" s="9" t="inlineStr">
        <x:is>
          <x:t xml:space="preserve">완료 토스트 후 이전 또는 설정 화면 복귀</x:t>
        </x:is>
      </x:c>
      <x:c r="K98" s="9" t="inlineStr">
        <x:is>
          <x:t xml:space="preserve"/>
        </x:is>
      </x:c>
      <x:c r="L98" s="9" t="inlineStr">
        <x:is>
          <x:t xml:space="preserve">No</x:t>
        </x:is>
      </x:c>
      <x:c r="M98" s="9" t="inlineStr">
        <x:is>
          <x:t xml:space="preserve"/>
        </x:is>
      </x:c>
      <x:c r="N98" s="9" t="inlineStr">
        <x:is>
          <x:t xml:space="preserve">Not Run</x:t>
        </x:is>
      </x:c>
    </x:row>
    <x:row r="99" ht="36" customHeight="1">
      <x:c r="A99" s="9" t="inlineStr">
        <x:is>
          <x:t xml:space="preserve">ADM-001</x:t>
        </x:is>
      </x:c>
      <x:c r="B99" s="10" t="inlineStr">
        <x:is>
          <x:t xml:space="preserve">P0</x:t>
        </x:is>
      </x:c>
      <x:c r="C99" s="9" t="inlineStr">
        <x:is>
          <x:t xml:space="preserve">Admin Dashboard</x:t>
        </x:is>
      </x:c>
      <x:c r="D99" s="11" t="inlineStr">
        <x:is>
          <x:t xml:space="preserve">API</x:t>
        </x:is>
      </x:c>
      <x:c r="E99" s="9" t="inlineStr">
        <x:is>
          <x:t xml:space="preserve">GET /api/v1/admin/dashboard/metrics</x:t>
        </x:is>
      </x:c>
      <x:c r="F99" s="9" t="inlineStr">
        <x:is>
          <x:t xml:space="preserve">운영 KPI 조회 성공</x:t>
        </x:is>
      </x:c>
      <x:c r="G99" s="9" t="inlineStr">
        <x:is>
          <x:t xml:space="preserve">운영자 로그인</x:t>
        </x:is>
      </x:c>
      <x:c r="H99" s="9" t="inlineStr">
        <x:is>
          <x:t xml:space="preserve">기간 필터</x:t>
        </x:is>
      </x:c>
      <x:c r="I99" s="9" t="inlineStr">
        <x:is>
          <x:t xml:space="preserve">1) KPI 조회</x:t>
        </x:is>
      </x:c>
      <x:c r="J99" s="9" t="inlineStr">
        <x:is>
          <x:t xml:space="preserve">200, 온보딩 완료율/예산안 수락률/첫 액션 실행률/7일 체크인율/30일 재방문율 포함</x:t>
        </x:is>
      </x:c>
      <x:c r="K99" s="9" t="inlineStr">
        <x:is>
          <x:t xml:space="preserve"/>
        </x:is>
      </x:c>
      <x:c r="L99" s="9" t="inlineStr">
        <x:is>
          <x:t xml:space="preserve">Yes</x:t>
        </x:is>
      </x:c>
      <x:c r="M99" s="9" t="inlineStr">
        <x:is>
          <x:t xml:space="preserve"/>
        </x:is>
      </x:c>
      <x:c r="N99" s="9" t="inlineStr">
        <x:is>
          <x:t xml:space="preserve">Not Run</x:t>
        </x:is>
      </x:c>
    </x:row>
    <x:row r="100" ht="36" customHeight="1">
      <x:c r="A100" s="9" t="inlineStr">
        <x:is>
          <x:t xml:space="preserve">ADM-002</x:t>
        </x:is>
      </x:c>
      <x:c r="B100" s="12" t="inlineStr">
        <x:is>
          <x:t xml:space="preserve">P1</x:t>
        </x:is>
      </x:c>
      <x:c r="C100" s="9" t="inlineStr">
        <x:is>
          <x:t xml:space="preserve">Admin Dashboard</x:t>
        </x:is>
      </x:c>
      <x:c r="D100" s="11" t="inlineStr">
        <x:is>
          <x:t xml:space="preserve">API</x:t>
        </x:is>
      </x:c>
      <x:c r="E100" s="9" t="inlineStr">
        <x:is>
          <x:t xml:space="preserve">GET /api/v1/admin/dashboard/metrics</x:t>
        </x:is>
      </x:c>
      <x:c r="F100" s="9" t="inlineStr">
        <x:is>
          <x:t xml:space="preserve">비운영자 접근 차단</x:t>
        </x:is>
      </x:c>
      <x:c r="G100" s="9" t="inlineStr">
        <x:is>
          <x:t xml:space="preserve">일반 사용자 로그인</x:t>
        </x:is>
      </x:c>
      <x:c r="H100" s="9" t="inlineStr">
        <x:is>
          <x:t xml:space="preserve">없음</x:t>
        </x:is>
      </x:c>
      <x:c r="I100" s="9" t="inlineStr">
        <x:is>
          <x:t xml:space="preserve">1) KPI 조회</x:t>
        </x:is>
      </x:c>
      <x:c r="J100" s="9" t="inlineStr">
        <x:is>
          <x:t xml:space="preserve">403</x:t>
        </x:is>
      </x:c>
      <x:c r="K100" s="9" t="inlineStr">
        <x:is>
          <x:t xml:space="preserve"/>
        </x:is>
      </x:c>
      <x:c r="L100" s="9" t="inlineStr">
        <x:is>
          <x:t xml:space="preserve">Yes</x:t>
        </x:is>
      </x:c>
      <x:c r="M100" s="9" t="inlineStr">
        <x:is>
          <x:t xml:space="preserve"/>
        </x:is>
      </x:c>
      <x:c r="N100" s="9" t="inlineStr">
        <x:is>
          <x:t xml:space="preserve">Not Run</x:t>
        </x:is>
      </x:c>
    </x:row>
    <x:row r="101" ht="36" customHeight="1">
      <x:c r="A101" s="9" t="inlineStr">
        <x:is>
          <x:t xml:space="preserve">ADM-003</x:t>
        </x:is>
      </x:c>
      <x:c r="B101" s="12" t="inlineStr">
        <x:is>
          <x:t xml:space="preserve">P1</x:t>
        </x:is>
      </x:c>
      <x:c r="C101" s="9" t="inlineStr">
        <x:is>
          <x:t xml:space="preserve">Admin Members</x:t>
        </x:is>
      </x:c>
      <x:c r="D101" s="11" t="inlineStr">
        <x:is>
          <x:t xml:space="preserve">API</x:t>
        </x:is>
      </x:c>
      <x:c r="E101" s="9" t="inlineStr">
        <x:is>
          <x:t xml:space="preserve">GET /api/v1/admin/members</x:t>
        </x:is>
      </x:c>
      <x:c r="F101" s="9" t="inlineStr">
        <x:is>
          <x:t xml:space="preserve">회원 목록 조회/필터 성공</x:t>
        </x:is>
      </x:c>
      <x:c r="G101" s="9" t="inlineStr">
        <x:is>
          <x:t xml:space="preserve">운영자 로그인</x:t>
        </x:is>
      </x:c>
      <x:c r="H101" s="9" t="inlineStr">
        <x:is>
          <x:t xml:space="preserve">hasActivePlan=true filter</x:t>
        </x:is>
      </x:c>
      <x:c r="I101" s="9" t="inlineStr">
        <x:is>
          <x:t xml:space="preserve">1) 목록 조회</x:t>
        </x:is>
      </x:c>
      <x:c r="J101" s="9" t="inlineStr">
        <x:is>
          <x:t xml:space="preserve">200, 필터 적용 결과</x:t>
        </x:is>
      </x:c>
      <x:c r="K101" s="9" t="inlineStr">
        <x:is>
          <x:t xml:space="preserve"/>
        </x:is>
      </x:c>
      <x:c r="L101" s="9" t="inlineStr">
        <x:is>
          <x:t xml:space="preserve">Yes</x:t>
        </x:is>
      </x:c>
      <x:c r="M101" s="9" t="inlineStr">
        <x:is>
          <x:t xml:space="preserve"/>
        </x:is>
      </x:c>
      <x:c r="N101" s="9" t="inlineStr">
        <x:is>
          <x:t xml:space="preserve">Not Run</x:t>
        </x:is>
      </x:c>
    </x:row>
    <x:row r="102" ht="36" customHeight="1">
      <x:c r="A102" s="9" t="inlineStr">
        <x:is>
          <x:t xml:space="preserve">ADM-004</x:t>
        </x:is>
      </x:c>
      <x:c r="B102" s="12" t="inlineStr">
        <x:is>
          <x:t xml:space="preserve">P1</x:t>
        </x:is>
      </x:c>
      <x:c r="C102" s="9" t="inlineStr">
        <x:is>
          <x:t xml:space="preserve">Admin Members</x:t>
        </x:is>
      </x:c>
      <x:c r="D102" s="11" t="inlineStr">
        <x:is>
          <x:t xml:space="preserve">API</x:t>
        </x:is>
      </x:c>
      <x:c r="E102" s="9" t="inlineStr">
        <x:is>
          <x:t xml:space="preserve">GET /api/v1/admin/members/{memberId}</x:t>
        </x:is>
      </x:c>
      <x:c r="F102" s="9" t="inlineStr">
        <x:is>
          <x:t xml:space="preserve">회원 상세 조회 성공</x:t>
        </x:is>
      </x:c>
      <x:c r="G102" s="9" t="inlineStr">
        <x:is>
          <x:t xml:space="preserve">운영자 로그인</x:t>
        </x:is>
      </x:c>
      <x:c r="H102" s="9" t="inlineStr">
        <x:is>
          <x:t xml:space="preserve">valid memberId</x:t>
        </x:is>
      </x:c>
      <x:c r="I102" s="9" t="inlineStr">
        <x:is>
          <x:t xml:space="preserve">1) 상세 조회</x:t>
        </x:is>
      </x:c>
      <x:c r="J102" s="9" t="inlineStr">
        <x:is>
          <x:t xml:space="preserve">200, profile/goal/plan/action/checkin 요약</x:t>
        </x:is>
      </x:c>
      <x:c r="K102" s="9" t="inlineStr">
        <x:is>
          <x:t xml:space="preserve"/>
        </x:is>
      </x:c>
      <x:c r="L102" s="9" t="inlineStr">
        <x:is>
          <x:t xml:space="preserve">Yes</x:t>
        </x:is>
      </x:c>
      <x:c r="M102" s="9" t="inlineStr">
        <x:is>
          <x:t xml:space="preserve"/>
        </x:is>
      </x:c>
      <x:c r="N102" s="9" t="inlineStr">
        <x:is>
          <x:t xml:space="preserve">Not Run</x:t>
        </x:is>
      </x:c>
    </x:row>
    <x:row r="103" ht="36" customHeight="1">
      <x:c r="A103" s="9" t="inlineStr">
        <x:is>
          <x:t xml:space="preserve">ADM-005</x:t>
        </x:is>
      </x:c>
      <x:c r="B103" s="12" t="inlineStr">
        <x:is>
          <x:t xml:space="preserve">P1</x:t>
        </x:is>
      </x:c>
      <x:c r="C103" s="9" t="inlineStr">
        <x:is>
          <x:t xml:space="preserve">Admin Members</x:t>
        </x:is>
      </x:c>
      <x:c r="D103" s="11" t="inlineStr">
        <x:is>
          <x:t xml:space="preserve">API</x:t>
        </x:is>
      </x:c>
      <x:c r="E103" s="9" t="inlineStr">
        <x:is>
          <x:t xml:space="preserve">GET /api/v1/admin/members/{memberId}</x:t>
        </x:is>
      </x:c>
      <x:c r="F103" s="9" t="inlineStr">
        <x:is>
          <x:t xml:space="preserve">없는 회원 404</x:t>
        </x:is>
      </x:c>
      <x:c r="G103" s="9" t="inlineStr">
        <x:is>
          <x:t xml:space="preserve">운영자 로그인</x:t>
        </x:is>
      </x:c>
      <x:c r="H103" s="9" t="inlineStr">
        <x:is>
          <x:t xml:space="preserve">invalid memberId</x:t>
        </x:is>
      </x:c>
      <x:c r="I103" s="9" t="inlineStr">
        <x:is>
          <x:t xml:space="preserve">1) 상세 조회</x:t>
        </x:is>
      </x:c>
      <x:c r="J103" s="9" t="inlineStr">
        <x:is>
          <x:t xml:space="preserve">404 NOT_FOUND</x:t>
        </x:is>
      </x:c>
      <x:c r="K103" s="9" t="inlineStr">
        <x:is>
          <x:t xml:space="preserve">NOT_FOUND</x:t>
        </x:is>
      </x:c>
      <x:c r="L103" s="9" t="inlineStr">
        <x:is>
          <x:t xml:space="preserve">Yes</x:t>
        </x:is>
      </x:c>
      <x:c r="M103" s="9" t="inlineStr">
        <x:is>
          <x:t xml:space="preserve"/>
        </x:is>
      </x:c>
      <x:c r="N103" s="9" t="inlineStr">
        <x:is>
          <x:t xml:space="preserve">Not Run</x:t>
        </x:is>
      </x:c>
    </x:row>
    <x:row r="104" ht="36" customHeight="1">
      <x:c r="A104" s="9" t="inlineStr">
        <x:is>
          <x:t xml:space="preserve">ADM-006</x:t>
        </x:is>
      </x:c>
      <x:c r="B104" s="12" t="inlineStr">
        <x:is>
          <x:t xml:space="preserve">P1</x:t>
        </x:is>
      </x:c>
      <x:c r="C104" s="9" t="inlineStr">
        <x:is>
          <x:t xml:space="preserve">Admin Inquiries</x:t>
        </x:is>
      </x:c>
      <x:c r="D104" s="11" t="inlineStr">
        <x:is>
          <x:t xml:space="preserve">API</x:t>
        </x:is>
      </x:c>
      <x:c r="E104" s="9" t="inlineStr">
        <x:is>
          <x:t xml:space="preserve">GET /api/v1/admin/inquiries</x:t>
        </x:is>
      </x:c>
      <x:c r="F104" s="9" t="inlineStr">
        <x:is>
          <x:t xml:space="preserve">문의 목록 조회 성공</x:t>
        </x:is>
      </x:c>
      <x:c r="G104" s="9" t="inlineStr">
        <x:is>
          <x:t xml:space="preserve">운영자 로그인</x:t>
        </x:is>
      </x:c>
      <x:c r="H104" s="9" t="inlineStr">
        <x:is>
          <x:t xml:space="preserve">status=received</x:t>
        </x:is>
      </x:c>
      <x:c r="I104" s="9" t="inlineStr">
        <x:is>
          <x:t xml:space="preserve">1) 목록 조회</x:t>
        </x:is>
      </x:c>
      <x:c r="J104" s="9" t="inlineStr">
        <x:is>
          <x:t xml:space="preserve">200</x:t>
        </x:is>
      </x:c>
      <x:c r="K104" s="9" t="inlineStr">
        <x:is>
          <x:t xml:space="preserve"/>
        </x:is>
      </x:c>
      <x:c r="L104" s="9" t="inlineStr">
        <x:is>
          <x:t xml:space="preserve">Yes</x:t>
        </x:is>
      </x:c>
      <x:c r="M104" s="9" t="inlineStr">
        <x:is>
          <x:t xml:space="preserve"/>
        </x:is>
      </x:c>
      <x:c r="N104" s="9" t="inlineStr">
        <x:is>
          <x:t xml:space="preserve">Not Run</x:t>
        </x:is>
      </x:c>
    </x:row>
    <x:row r="105" ht="36" customHeight="1">
      <x:c r="A105" s="9" t="inlineStr">
        <x:is>
          <x:t xml:space="preserve">ADM-007</x:t>
        </x:is>
      </x:c>
      <x:c r="B105" s="12" t="inlineStr">
        <x:is>
          <x:t xml:space="preserve">P1</x:t>
        </x:is>
      </x:c>
      <x:c r="C105" s="9" t="inlineStr">
        <x:is>
          <x:t xml:space="preserve">Admin Inquiries</x:t>
        </x:is>
      </x:c>
      <x:c r="D105" s="11" t="inlineStr">
        <x:is>
          <x:t xml:space="preserve">API</x:t>
        </x:is>
      </x:c>
      <x:c r="E105" s="9" t="inlineStr">
        <x:is>
          <x:t xml:space="preserve">PATCH /api/v1/admin/inquiries/{inquiryId}</x:t>
        </x:is>
      </x:c>
      <x:c r="F105" s="9" t="inlineStr">
        <x:is>
          <x:t xml:space="preserve">문의 상태 변경 성공</x:t>
        </x:is>
      </x:c>
      <x:c r="G105" s="9" t="inlineStr">
        <x:is>
          <x:t xml:space="preserve">운영자 로그인, 문의 존재</x:t>
        </x:is>
      </x:c>
      <x:c r="H105" s="9" t="inlineStr">
        <x:is>
          <x:t xml:space="preserve">status=answered</x:t>
        </x:is>
      </x:c>
      <x:c r="I105" s="9" t="inlineStr">
        <x:is>
          <x:t xml:space="preserve">1) patch 호출</x:t>
        </x:is>
      </x:c>
      <x:c r="J105" s="9" t="inlineStr">
        <x:is>
          <x:t xml:space="preserve">200, 상태 반영</x:t>
        </x:is>
      </x:c>
      <x:c r="K105" s="9" t="inlineStr">
        <x:is>
          <x:t xml:space="preserve"/>
        </x:is>
      </x:c>
      <x:c r="L105" s="9" t="inlineStr">
        <x:is>
          <x:t xml:space="preserve">Yes</x:t>
        </x:is>
      </x:c>
      <x:c r="M105" s="9" t="inlineStr">
        <x:is>
          <x:t xml:space="preserve"/>
        </x:is>
      </x:c>
      <x:c r="N105" s="9" t="inlineStr">
        <x:is>
          <x:t xml:space="preserve">Not Run</x:t>
        </x:is>
      </x:c>
    </x:row>
    <x:row r="106" ht="36" customHeight="1">
      <x:c r="A106" s="9" t="inlineStr">
        <x:is>
          <x:t xml:space="preserve">ADM-008</x:t>
        </x:is>
      </x:c>
      <x:c r="B106" s="12" t="inlineStr">
        <x:is>
          <x:t xml:space="preserve">P1</x:t>
        </x:is>
      </x:c>
      <x:c r="C106" s="9" t="inlineStr">
        <x:is>
          <x:t xml:space="preserve">Admin Inquiries</x:t>
        </x:is>
      </x:c>
      <x:c r="D106" s="11" t="inlineStr">
        <x:is>
          <x:t xml:space="preserve">API</x:t>
        </x:is>
      </x:c>
      <x:c r="E106" s="9" t="inlineStr">
        <x:is>
          <x:t xml:space="preserve">PATCH /api/v1/admin/inquiries/{inquiryId}</x:t>
        </x:is>
      </x:c>
      <x:c r="F106" s="9" t="inlineStr">
        <x:is>
          <x:t xml:space="preserve">알 수 없는 필드 추가 시 거부</x:t>
        </x:is>
      </x:c>
      <x:c r="G106" s="9" t="inlineStr">
        <x:is>
          <x:t xml:space="preserve">운영자 로그인</x:t>
        </x:is>
      </x:c>
      <x:c r="H106" s="9" t="inlineStr">
        <x:is>
          <x:t xml:space="preserve">unexpectedField=1</x:t>
        </x:is>
      </x:c>
      <x:c r="I106" s="9" t="inlineStr">
        <x:is>
          <x:t xml:space="preserve">1) patch 호출</x:t>
        </x:is>
      </x:c>
      <x:c r="J106" s="9" t="inlineStr">
        <x:is>
          <x:t xml:space="preserve">422</x:t>
        </x:is>
      </x:c>
      <x:c r="K106" s="9" t="inlineStr">
        <x:is>
          <x:t xml:space="preserve">VALIDATION_ERROR</x:t>
        </x:is>
      </x:c>
      <x:c r="L106" s="9" t="inlineStr">
        <x:is>
          <x:t xml:space="preserve">Yes</x:t>
        </x:is>
      </x:c>
      <x:c r="M106" s="9" t="inlineStr">
        <x:is>
          <x:t xml:space="preserve">additionalProperties=false</x:t>
        </x:is>
      </x:c>
      <x:c r="N106" s="9" t="inlineStr">
        <x:is>
          <x:t xml:space="preserve">Not Run</x:t>
        </x:is>
      </x:c>
    </x:row>
    <x:row r="107" ht="36" customHeight="1">
      <x:c r="A107" s="9" t="inlineStr">
        <x:is>
          <x:t xml:space="preserve">ADM-009</x:t>
        </x:is>
      </x:c>
      <x:c r="B107" s="12" t="inlineStr">
        <x:is>
          <x:t xml:space="preserve">P1</x:t>
        </x:is>
      </x:c>
      <x:c r="C107" s="9" t="inlineStr">
        <x:is>
          <x:t xml:space="preserve">Admin Notices</x:t>
        </x:is>
      </x:c>
      <x:c r="D107" s="11" t="inlineStr">
        <x:is>
          <x:t xml:space="preserve">API</x:t>
        </x:is>
      </x:c>
      <x:c r="E107" s="9" t="inlineStr">
        <x:is>
          <x:t xml:space="preserve">POST /api/v1/admin/notices</x:t>
        </x:is>
      </x:c>
      <x:c r="F107" s="9" t="inlineStr">
        <x:is>
          <x:t xml:space="preserve">공지 작성 성공</x:t>
        </x:is>
      </x:c>
      <x:c r="G107" s="9" t="inlineStr">
        <x:is>
          <x:t xml:space="preserve">운영자 로그인</x:t>
        </x:is>
      </x:c>
      <x:c r="H107" s="9" t="inlineStr">
        <x:is>
          <x:t xml:space="preserve">title/body/isImportant/status</x:t>
        </x:is>
      </x:c>
      <x:c r="I107" s="9" t="inlineStr">
        <x:is>
          <x:t xml:space="preserve">1) 공지 작성</x:t>
        </x:is>
      </x:c>
      <x:c r="J107" s="9" t="inlineStr">
        <x:is>
          <x:t xml:space="preserve">201</x:t>
        </x:is>
      </x:c>
      <x:c r="K107" s="9" t="inlineStr">
        <x:is>
          <x:t xml:space="preserve"/>
        </x:is>
      </x:c>
      <x:c r="L107" s="9" t="inlineStr">
        <x:is>
          <x:t xml:space="preserve">Yes</x:t>
        </x:is>
      </x:c>
      <x:c r="M107" s="9" t="inlineStr">
        <x:is>
          <x:t xml:space="preserve"/>
        </x:is>
      </x:c>
      <x:c r="N107" s="9" t="inlineStr">
        <x:is>
          <x:t xml:space="preserve">Not Run</x:t>
        </x:is>
      </x:c>
    </x:row>
    <x:row r="108" ht="36" customHeight="1">
      <x:c r="A108" s="9" t="inlineStr">
        <x:is>
          <x:t xml:space="preserve">ADM-010</x:t>
        </x:is>
      </x:c>
      <x:c r="B108" s="12" t="inlineStr">
        <x:is>
          <x:t xml:space="preserve">P1</x:t>
        </x:is>
      </x:c>
      <x:c r="C108" s="9" t="inlineStr">
        <x:is>
          <x:t xml:space="preserve">Admin Notices</x:t>
        </x:is>
      </x:c>
      <x:c r="D108" s="11" t="inlineStr">
        <x:is>
          <x:t xml:space="preserve">API</x:t>
        </x:is>
      </x:c>
      <x:c r="E108" s="9" t="inlineStr">
        <x:is>
          <x:t xml:space="preserve">POST /api/v1/admin/notices</x:t>
        </x:is>
      </x:c>
      <x:c r="F108" s="9" t="inlineStr">
        <x:is>
          <x:t xml:space="preserve">공지 작성 필수 필드 누락 거부</x:t>
        </x:is>
      </x:c>
      <x:c r="G108" s="9" t="inlineStr">
        <x:is>
          <x:t xml:space="preserve">운영자 로그인</x:t>
        </x:is>
      </x:c>
      <x:c r="H108" s="9" t="inlineStr">
        <x:is>
          <x:t xml:space="preserve">body 누락</x:t>
        </x:is>
      </x:c>
      <x:c r="I108" s="9" t="inlineStr">
        <x:is>
          <x:t xml:space="preserve">1) 공지 작성</x:t>
        </x:is>
      </x:c>
      <x:c r="J108" s="9" t="inlineStr">
        <x:is>
          <x:t xml:space="preserve">422</x:t>
        </x:is>
      </x:c>
      <x:c r="K108" s="9" t="inlineStr">
        <x:is>
          <x:t xml:space="preserve">VALIDATION_ERROR</x:t>
        </x:is>
      </x:c>
      <x:c r="L108" s="9" t="inlineStr">
        <x:is>
          <x:t xml:space="preserve">Yes</x:t>
        </x:is>
      </x:c>
      <x:c r="M108" s="9" t="inlineStr">
        <x:is>
          <x:t xml:space="preserve"/>
        </x:is>
      </x:c>
      <x:c r="N108" s="9" t="inlineStr">
        <x:is>
          <x:t xml:space="preserve">Not Run</x:t>
        </x:is>
      </x:c>
    </x:row>
    <x:row r="109" ht="36" customHeight="1">
      <x:c r="A109" s="9" t="inlineStr">
        <x:is>
          <x:t xml:space="preserve">ADM-011</x:t>
        </x:is>
      </x:c>
      <x:c r="B109" s="12" t="inlineStr">
        <x:is>
          <x:t xml:space="preserve">P1</x:t>
        </x:is>
      </x:c>
      <x:c r="C109" s="9" t="inlineStr">
        <x:is>
          <x:t xml:space="preserve">Admin Notices</x:t>
        </x:is>
      </x:c>
      <x:c r="D109" s="11" t="inlineStr">
        <x:is>
          <x:t xml:space="preserve">API</x:t>
        </x:is>
      </x:c>
      <x:c r="E109" s="9" t="inlineStr">
        <x:is>
          <x:t xml:space="preserve">GET /api/v1/admin/notices</x:t>
        </x:is>
      </x:c>
      <x:c r="F109" s="9" t="inlineStr">
        <x:is>
          <x:t xml:space="preserve">공지 목록은 summary만 반환</x:t>
        </x:is>
      </x:c>
      <x:c r="G109" s="9" t="inlineStr">
        <x:is>
          <x:t xml:space="preserve">운영자 로그인</x:t>
        </x:is>
      </x:c>
      <x:c r="H109" s="9" t="inlineStr">
        <x:is>
          <x:t xml:space="preserve">없음</x:t>
        </x:is>
      </x:c>
      <x:c r="I109" s="9" t="inlineStr">
        <x:is>
          <x:t xml:space="preserve">1) 목록 조회</x:t>
        </x:is>
      </x:c>
      <x:c r="J109" s="9" t="inlineStr">
        <x:is>
          <x:t xml:space="preserve">200, 목록 item에 body 없음</x:t>
        </x:is>
      </x:c>
      <x:c r="K109" s="9" t="inlineStr">
        <x:is>
          <x:t xml:space="preserve"/>
        </x:is>
      </x:c>
      <x:c r="L109" s="9" t="inlineStr">
        <x:is>
          <x:t xml:space="preserve">Yes</x:t>
        </x:is>
      </x:c>
      <x:c r="M109" s="9" t="inlineStr">
        <x:is>
          <x:t xml:space="preserve">AdminNoticeSummary 확인</x:t>
        </x:is>
      </x:c>
      <x:c r="N109" s="9" t="inlineStr">
        <x:is>
          <x:t xml:space="preserve">Not Run</x:t>
        </x:is>
      </x:c>
    </x:row>
    <x:row r="110" ht="36" customHeight="1">
      <x:c r="A110" s="9" t="inlineStr">
        <x:is>
          <x:t xml:space="preserve">ADM-012</x:t>
        </x:is>
      </x:c>
      <x:c r="B110" s="12" t="inlineStr">
        <x:is>
          <x:t xml:space="preserve">P1</x:t>
        </x:is>
      </x:c>
      <x:c r="C110" s="9" t="inlineStr">
        <x:is>
          <x:t xml:space="preserve">Admin Notices</x:t>
        </x:is>
      </x:c>
      <x:c r="D110" s="11" t="inlineStr">
        <x:is>
          <x:t xml:space="preserve">API</x:t>
        </x:is>
      </x:c>
      <x:c r="E110" s="9" t="inlineStr">
        <x:is>
          <x:t xml:space="preserve">GET /api/v1/admin/notices/{noticeId}</x:t>
        </x:is>
      </x:c>
      <x:c r="F110" s="9" t="inlineStr">
        <x:is>
          <x:t xml:space="preserve">공지 상세는 본문 포함</x:t>
        </x:is>
      </x:c>
      <x:c r="G110" s="9" t="inlineStr">
        <x:is>
          <x:t xml:space="preserve">운영자 로그인</x:t>
        </x:is>
      </x:c>
      <x:c r="H110" s="9" t="inlineStr">
        <x:is>
          <x:t xml:space="preserve">valid noticeId</x:t>
        </x:is>
      </x:c>
      <x:c r="I110" s="9" t="inlineStr">
        <x:is>
          <x:t xml:space="preserve">1) 상세 조회</x:t>
        </x:is>
      </x:c>
      <x:c r="J110" s="9" t="inlineStr">
        <x:is>
          <x:t xml:space="preserve">200, body 포함</x:t>
        </x:is>
      </x:c>
      <x:c r="K110" s="9" t="inlineStr">
        <x:is>
          <x:t xml:space="preserve"/>
        </x:is>
      </x:c>
      <x:c r="L110" s="9" t="inlineStr">
        <x:is>
          <x:t xml:space="preserve">Yes</x:t>
        </x:is>
      </x:c>
      <x:c r="M110" s="9" t="inlineStr">
        <x:is>
          <x:t xml:space="preserve"/>
        </x:is>
      </x:c>
      <x:c r="N110" s="9" t="inlineStr">
        <x:is>
          <x:t xml:space="preserve">Not Run</x:t>
        </x:is>
      </x:c>
    </x:row>
    <x:row r="111" ht="36" customHeight="1">
      <x:c r="A111" s="9" t="inlineStr">
        <x:is>
          <x:t xml:space="preserve">ADM-013</x:t>
        </x:is>
      </x:c>
      <x:c r="B111" s="12" t="inlineStr">
        <x:is>
          <x:t xml:space="preserve">P1</x:t>
        </x:is>
      </x:c>
      <x:c r="C111" s="9" t="inlineStr">
        <x:is>
          <x:t xml:space="preserve">Admin Notices</x:t>
        </x:is>
      </x:c>
      <x:c r="D111" s="11" t="inlineStr">
        <x:is>
          <x:t xml:space="preserve">API</x:t>
        </x:is>
      </x:c>
      <x:c r="E111" s="9" t="inlineStr">
        <x:is>
          <x:t xml:space="preserve">PATCH /api/v1/admin/notices/{noticeId}</x:t>
        </x:is>
      </x:c>
      <x:c r="F111" s="9" t="inlineStr">
        <x:is>
          <x:t xml:space="preserve">공지 수정 성공</x:t>
        </x:is>
      </x:c>
      <x:c r="G111" s="9" t="inlineStr">
        <x:is>
          <x:t xml:space="preserve">운영자 로그인, 공지 존재</x:t>
        </x:is>
      </x:c>
      <x:c r="H111" s="9" t="inlineStr">
        <x:is>
          <x:t xml:space="preserve">status=published</x:t>
        </x:is>
      </x:c>
      <x:c r="I111" s="9" t="inlineStr">
        <x:is>
          <x:t xml:space="preserve">1) patch 호출</x:t>
        </x:is>
      </x:c>
      <x:c r="J111" s="9" t="inlineStr">
        <x:is>
          <x:t xml:space="preserve">200</x:t>
        </x:is>
      </x:c>
      <x:c r="K111" s="9" t="inlineStr">
        <x:is>
          <x:t xml:space="preserve"/>
        </x:is>
      </x:c>
      <x:c r="L111" s="9" t="inlineStr">
        <x:is>
          <x:t xml:space="preserve">Yes</x:t>
        </x:is>
      </x:c>
      <x:c r="M111" s="9" t="inlineStr">
        <x:is>
          <x:t xml:space="preserve"/>
        </x:is>
      </x:c>
      <x:c r="N111" s="9" t="inlineStr">
        <x:is>
          <x:t xml:space="preserve">Not Run</x:t>
        </x:is>
      </x:c>
    </x:row>
    <x:row r="112" ht="36" customHeight="1">
      <x:c r="A112" s="9" t="inlineStr">
        <x:is>
          <x:t xml:space="preserve">ADM-014</x:t>
        </x:is>
      </x:c>
      <x:c r="B112" s="12" t="inlineStr">
        <x:is>
          <x:t xml:space="preserve">P1</x:t>
        </x:is>
      </x:c>
      <x:c r="C112" s="9" t="inlineStr">
        <x:is>
          <x:t xml:space="preserve">Admin Notices</x:t>
        </x:is>
      </x:c>
      <x:c r="D112" s="11" t="inlineStr">
        <x:is>
          <x:t xml:space="preserve">API</x:t>
        </x:is>
      </x:c>
      <x:c r="E112" s="9" t="inlineStr">
        <x:is>
          <x:t xml:space="preserve">PATCH /api/v1/admin/notices/{noticeId}</x:t>
        </x:is>
      </x:c>
      <x:c r="F112" s="9" t="inlineStr">
        <x:is>
          <x:t xml:space="preserve">공지 수정 알 수 없는 필드 거부</x:t>
        </x:is>
      </x:c>
      <x:c r="G112" s="9" t="inlineStr">
        <x:is>
          <x:t xml:space="preserve">운영자 로그인</x:t>
        </x:is>
      </x:c>
      <x:c r="H112" s="9" t="inlineStr">
        <x:is>
          <x:t xml:space="preserve">unexpectedField=1</x:t>
        </x:is>
      </x:c>
      <x:c r="I112" s="9" t="inlineStr">
        <x:is>
          <x:t xml:space="preserve">1) patch 호출</x:t>
        </x:is>
      </x:c>
      <x:c r="J112" s="9" t="inlineStr">
        <x:is>
          <x:t xml:space="preserve">422</x:t>
        </x:is>
      </x:c>
      <x:c r="K112" s="9" t="inlineStr">
        <x:is>
          <x:t xml:space="preserve">VALIDATION_ERROR</x:t>
        </x:is>
      </x:c>
      <x:c r="L112" s="9" t="inlineStr">
        <x:is>
          <x:t xml:space="preserve">Yes</x:t>
        </x:is>
      </x:c>
      <x:c r="M112" s="9" t="inlineStr">
        <x:is>
          <x:t xml:space="preserve">additionalProperties=false</x:t>
        </x:is>
      </x:c>
      <x:c r="N112" s="9" t="inlineStr">
        <x:is>
          <x:t xml:space="preserve">Not Run</x:t>
        </x:is>
      </x:c>
    </x:row>
  </x:sheetData>
  <x:dataValidations count="2">
    <x:dataValidation type="list" allowBlank="0" showDropDown="0" showInputMessage="0" showErrorMessage="0" sqref="N2:N112">
      <x:formula1>"Not Run,Pass,Fail,Blocked,N/A"</x:formula1>
    </x:dataValidation>
    <x:dataValidation type="list" allowBlank="0" showDropDown="0" showInputMessage="0" showErrorMessage="0" sqref="L2:L112">
      <x:formula1>"Yes,No,Partial"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997f3407ca4bc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9" customWidth="1"/>
    <x:col min="3" max="3" width="34" customWidth="1"/>
    <x:col min="4" max="4" width="28" customWidth="1"/>
  </x:cols>
  <x:sheetData>
    <x:row r="1" ht="24" customHeight="1">
      <x:c r="A1" s="4" t="inlineStr">
        <x:is>
          <x:t xml:space="preserve">Error Code</x:t>
        </x:is>
      </x:c>
      <x:c r="B1" s="4" t="inlineStr">
        <x:is>
          <x:t xml:space="preserve">HTTP</x:t>
        </x:is>
      </x:c>
      <x:c r="C1" s="4" t="inlineStr">
        <x:is>
          <x:t xml:space="preserve">When</x:t>
        </x:is>
      </x:c>
      <x:c r="D1" s="4" t="inlineStr">
        <x:is>
          <x:t xml:space="preserve">Primary Endpoint</x:t>
        </x:is>
      </x:c>
    </x:row>
    <x:row r="2" ht="24" customHeight="1">
      <x:c r="A2" s="9" t="inlineStr">
        <x:is>
          <x:t xml:space="preserve">VALIDATION_ERROR</x:t>
        </x:is>
      </x:c>
      <x:c r="B2" s="9" t="inlineStr">
        <x:is>
          <x:t xml:space="preserve">422</x:t>
        </x:is>
      </x:c>
      <x:c r="C2" s="9" t="inlineStr">
        <x:is>
          <x:t xml:space="preserve">형식/길이/범위/enum/additionalProperties/cross-field 위반</x:t>
        </x:is>
      </x:c>
      <x:c r="D2" s="9" t="inlineStr">
        <x:is>
          <x:t xml:space="preserve">대부분 request DTO</x:t>
        </x:is>
      </x:c>
    </x:row>
    <x:row r="3" ht="24" customHeight="1">
      <x:c r="A3" s="9" t="inlineStr">
        <x:is>
          <x:t xml:space="preserve">PROFILE_NOT_READY</x:t>
        </x:is>
      </x:c>
      <x:c r="B3" s="9" t="inlineStr">
        <x:is>
          <x:t xml:space="preserve">409</x:t>
        </x:is>
      </x:c>
      <x:c r="C3" s="9" t="inlineStr">
        <x:is>
          <x:t xml:space="preserve">profile/goal 미완성 상태에서 preview 생성</x:t>
        </x:is>
      </x:c>
      <x:c r="D3" s="9" t="inlineStr">
        <x:is>
          <x:t xml:space="preserve">POST /users/me/plan-previews</x:t>
        </x:is>
      </x:c>
    </x:row>
    <x:row r="4" ht="24" customHeight="1">
      <x:c r="A4" s="9" t="inlineStr">
        <x:is>
          <x:t xml:space="preserve">PREVIEW_TOKEN_EXPIRED</x:t>
        </x:is>
      </x:c>
      <x:c r="B4" s="9" t="inlineStr">
        <x:is>
          <x:t xml:space="preserve">409</x:t>
        </x:is>
      </x:c>
      <x:c r="C4" s="9" t="inlineStr">
        <x:is>
          <x:t xml:space="preserve">preview token 만료</x:t>
        </x:is>
      </x:c>
      <x:c r="D4" s="9" t="inlineStr">
        <x:is>
          <x:t xml:space="preserve">accept/revision</x:t>
        </x:is>
      </x:c>
    </x:row>
    <x:row r="5" ht="24" customHeight="1">
      <x:c r="A5" s="9" t="inlineStr">
        <x:is>
          <x:t xml:space="preserve">PREVIEW_TOKEN_INVALIDATED</x:t>
        </x:is>
      </x:c>
      <x:c r="B5" s="9" t="inlineStr">
        <x:is>
          <x:t xml:space="preserve">409</x:t>
        </x:is>
      </x:c>
      <x:c r="C5" s="9" t="inlineStr">
        <x:is>
          <x:t xml:space="preserve">새 preview 발급으로 기존 token 무효화</x:t>
        </x:is>
      </x:c>
      <x:c r="D5" s="9" t="inlineStr">
        <x:is>
          <x:t xml:space="preserve">accept/revision</x:t>
        </x:is>
      </x:c>
    </x:row>
    <x:row r="6" ht="24" customHeight="1">
      <x:c r="A6" s="9" t="inlineStr">
        <x:is>
          <x:t xml:space="preserve">PREVIEW_TOKEN_ALREADY_CONSUMED</x:t>
        </x:is>
      </x:c>
      <x:c r="B6" s="9" t="inlineStr">
        <x:is>
          <x:t xml:space="preserve">409</x:t>
        </x:is>
      </x:c>
      <x:c r="C6" s="9" t="inlineStr">
        <x:is>
          <x:t xml:space="preserve">이미 사용한 preview token</x:t>
        </x:is>
      </x:c>
      <x:c r="D6" s="9" t="inlineStr">
        <x:is>
          <x:t xml:space="preserve">accept</x:t>
        </x:is>
      </x:c>
    </x:row>
    <x:row r="7" ht="24" customHeight="1">
      <x:c r="A7" s="9" t="inlineStr">
        <x:is>
          <x:t xml:space="preserve">ACTIVE_PLAN_NOT_FOUND</x:t>
        </x:is>
      </x:c>
      <x:c r="B7" s="9" t="inlineStr">
        <x:is>
          <x:t xml:space="preserve">404</x:t>
        </x:is>
      </x:c>
      <x:c r="C7" s="9" t="inlineStr">
        <x:is>
          <x:t xml:space="preserve">해당 월 active plan 부재</x:t>
        </x:is>
      </x:c>
      <x:c r="D7" s="9" t="inlineStr">
        <x:is>
          <x:t xml:space="preserve">get active, checkin, revision</x:t>
        </x:is>
      </x:c>
    </x:row>
    <x:row r="8" ht="24" customHeight="1">
      <x:c r="A8" s="9" t="inlineStr">
        <x:is>
          <x:t xml:space="preserve">ACTIVE_PLAN_CONFLICT</x:t>
        </x:is>
      </x:c>
      <x:c r="B8" s="9" t="inlineStr">
        <x:is>
          <x:t xml:space="preserve">409</x:t>
        </x:is>
      </x:c>
      <x:c r="C8" s="9" t="inlineStr">
        <x:is>
          <x:t xml:space="preserve">stale basePlanVersion 또는 version 충돌</x:t>
        </x:is>
      </x:c>
      <x:c r="D8" s="9" t="inlineStr">
        <x:is>
          <x:t xml:space="preserve">recalculate/revision</x:t>
        </x:is>
      </x:c>
    </x:row>
    <x:row r="9" ht="24" customHeight="1">
      <x:c r="A9" s="9" t="inlineStr">
        <x:is>
          <x:t xml:space="preserve">WEEK_NOT_AVAILABLE_FOR_MONTH</x:t>
        </x:is>
      </x:c>
      <x:c r="B9" s="9" t="inlineStr">
        <x:is>
          <x:t xml:space="preserve">409</x:t>
        </x:is>
      </x:c>
      <x:c r="C9" s="9" t="inlineStr">
        <x:is>
          <x:t xml:space="preserve">28일 종료 월의 5주차 경로</x:t>
        </x:is>
      </x:c>
      <x:c r="D9" s="9" t="inlineStr">
        <x:is>
          <x:t xml:space="preserve">weekly checkin</x:t>
        </x:is>
      </x:c>
    </x:row>
    <x:row r="10" ht="24" customHeight="1">
      <x:c r="A10" s="9" t="inlineStr">
        <x:is>
          <x:t xml:space="preserve">WEEK_NOT_EDITABLE</x:t>
        </x:is>
      </x:c>
      <x:c r="B10" s="9" t="inlineStr">
        <x:is>
          <x:t xml:space="preserve">409</x:t>
        </x:is>
      </x:c>
      <x:c r="C10" s="9" t="inlineStr">
        <x:is>
          <x:t xml:space="preserve">미래 주차 또는 수정 불가 주차</x:t>
        </x:is>
      </x:c>
      <x:c r="D10" s="9" t="inlineStr">
        <x:is>
          <x:t xml:space="preserve">weekly checkin</x:t>
        </x:is>
      </x:c>
    </x:row>
    <x:row r="11" ht="24" customHeight="1">
      <x:c r="A11" s="9" t="inlineStr">
        <x:is>
          <x:t xml:space="preserve">CHECKIN_READ_ONLY</x:t>
        </x:is>
      </x:c>
      <x:c r="B11" s="9" t="inlineStr">
        <x:is>
          <x:t xml:space="preserve">409</x:t>
        </x:is>
      </x:c>
      <x:c r="C11" s="9" t="inlineStr">
        <x:is>
          <x:t xml:space="preserve">월마감 후 전월 체크인 read-only</x:t>
        </x:is>
      </x:c>
      <x:c r="D11" s="9" t="inlineStr">
        <x:is>
          <x:t xml:space="preserve">weekly checkin</x:t>
        </x:is>
      </x:c>
    </x:row>
    <x:row r="12" ht="24" customHeight="1">
      <x:c r="A12" s="9" t="inlineStr">
        <x:is>
          <x:t xml:space="preserve">ACTION_ALREADY_COMPLETED</x:t>
        </x:is>
      </x:c>
      <x:c r="B12" s="9" t="inlineStr">
        <x:is>
          <x:t xml:space="preserve">409</x:t>
        </x:is>
      </x:c>
      <x:c r="C12" s="9" t="inlineStr">
        <x:is>
          <x:t xml:space="preserve">이미 완료된 액션</x:t>
        </x:is>
      </x:c>
      <x:c r="D12" s="9" t="inlineStr">
        <x:is>
          <x:t xml:space="preserve">action complete</x:t>
        </x:is>
      </x:c>
    </x:row>
    <x:row r="13" ht="24" customHeight="1">
      <x:c r="A13" s="9" t="inlineStr">
        <x:is>
          <x:t xml:space="preserve">ACTION_ALREADY_SNOOZED</x:t>
        </x:is>
      </x:c>
      <x:c r="B13" s="9" t="inlineStr">
        <x:is>
          <x:t xml:space="preserve">409</x:t>
        </x:is>
      </x:c>
      <x:c r="C13" s="9" t="inlineStr">
        <x:is>
          <x:t xml:space="preserve">이미 미룬 액션</x:t>
        </x:is>
      </x:c>
      <x:c r="D13" s="9" t="inlineStr">
        <x:is>
          <x:t xml:space="preserve">action snooze</x:t>
        </x:is>
      </x:c>
    </x:row>
    <x:row r="14" ht="24" customHeight="1">
      <x:c r="A14" s="9" t="inlineStr">
        <x:is>
          <x:t xml:space="preserve">ACTION_INVALIDATED</x:t>
        </x:is>
      </x:c>
      <x:c r="B14" s="9" t="inlineStr">
        <x:is>
          <x:t xml:space="preserve">409</x:t>
        </x:is>
      </x:c>
      <x:c r="C14" s="9" t="inlineStr">
        <x:is>
          <x:t xml:space="preserve">revision/checkin 후 무효화된 액션</x:t>
        </x:is>
      </x:c>
      <x:c r="D14" s="9" t="inlineStr">
        <x:is>
          <x:t xml:space="preserve">action mutation</x:t>
        </x:is>
      </x:c>
    </x:row>
    <x:row r="15" ht="24" customHeight="1">
      <x:c r="A15" s="9" t="inlineStr">
        <x:is>
          <x:t xml:space="preserve">EMAIL_ALREADY_EXISTS</x:t>
        </x:is>
      </x:c>
      <x:c r="B15" s="9" t="inlineStr">
        <x:is>
          <x:t xml:space="preserve">409</x:t>
        </x:is>
      </x:c>
      <x:c r="C15" s="9" t="inlineStr">
        <x:is>
          <x:t xml:space="preserve">중복 이메일 가입</x:t>
        </x:is>
      </x:c>
      <x:c r="D15" s="9" t="inlineStr">
        <x:is>
          <x:t xml:space="preserve">signup</x:t>
        </x:is>
      </x:c>
    </x:row>
    <x:row r="16" ht="24" customHeight="1">
      <x:c r="A16" s="9" t="inlineStr">
        <x:is>
          <x:t xml:space="preserve">IDEMPOTENCY_KEY_REUSED</x:t>
        </x:is>
      </x:c>
      <x:c r="B16" s="9" t="inlineStr">
        <x:is>
          <x:t xml:space="preserve">409</x:t>
        </x:is>
      </x:c>
      <x:c r="C16" s="9" t="inlineStr">
        <x:is>
          <x:t xml:space="preserve">같은 key를 다른 정규화 요청에 재사용</x:t>
        </x:is>
      </x:c>
      <x:c r="D16" s="9" t="inlineStr">
        <x:is>
          <x:t xml:space="preserve">accept/revision/action</x:t>
        </x:is>
      </x:c>
    </x:row>
    <x:row r="17" ht="24" customHeight="1">
      <x:c r="A17" s="9" t="inlineStr">
        <x:is>
          <x:t xml:space="preserve">NOT_FOUND</x:t>
        </x:is>
      </x:c>
      <x:c r="B17" s="9" t="inlineStr">
        <x:is>
          <x:t xml:space="preserve">404</x:t>
        </x:is>
      </x:c>
      <x:c r="C17" s="9" t="inlineStr">
        <x:is>
          <x:t xml:space="preserve">리소스 부재</x:t>
        </x:is>
      </x:c>
      <x:c r="D17" s="9" t="inlineStr">
        <x:is>
          <x:t xml:space="preserve">notice/member/report detail</x:t>
        </x:is>
      </x:c>
    </x:row>
    <x:row r="18" ht="24" customHeight="1"/>
  </x:sheetData>
  <x:pageMargins left="0.7" right="0.7" top="0.75" bottom="0.75" header="0.3" footer="0.3"/>
</x:worksheet>
</file>